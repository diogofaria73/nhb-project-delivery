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hidePivotFieldList="1"/>
  <mc:AlternateContent xmlns:mc="http://schemas.openxmlformats.org/markup-compatibility/2006">
    <mc:Choice Requires="x15">
      <x15ac:absPath xmlns:x15ac="http://schemas.microsoft.com/office/spreadsheetml/2010/11/ac" url="/Users/diogofaria/Documents/Azure-NHB/nhb-project-delivery/docs/specs/"/>
    </mc:Choice>
  </mc:AlternateContent>
  <xr:revisionPtr revIDLastSave="0" documentId="13_ncr:1_{D8D29C40-7F16-754F-A646-C650B136F5FF}" xr6:coauthVersionLast="47" xr6:coauthVersionMax="47" xr10:uidLastSave="{00000000-0000-0000-0000-000000000000}"/>
  <bookViews>
    <workbookView xWindow="0" yWindow="600" windowWidth="33600" windowHeight="20400" tabRatio="338" xr2:uid="{00000000-000D-0000-FFFF-FFFF00000000}"/>
  </bookViews>
  <sheets>
    <sheet name="StatusReport_2026_NovaFormula" sheetId="12" r:id="rId1"/>
    <sheet name="BI" sheetId="14" r:id="rId2"/>
    <sheet name="StatusReport_2026_backup" sheetId="17" r:id="rId3"/>
  </sheets>
  <definedNames>
    <definedName name="_xlnm._FilterDatabase" localSheetId="2" hidden="1">StatusReport_2026_backup!$A$1:$BH$43</definedName>
    <definedName name="_xlnm._FilterDatabase" localSheetId="0" hidden="1">StatusReport_2026_NovaFormula!$BI$1:$BJ$44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43" i="17" l="1"/>
  <c r="BG43" i="17" s="1"/>
  <c r="BE43" i="17"/>
  <c r="BF42" i="17"/>
  <c r="BG42" i="17" s="1"/>
  <c r="BE42" i="17"/>
  <c r="BE41" i="17"/>
  <c r="BF41" i="17" s="1"/>
  <c r="BG41" i="17" s="1"/>
  <c r="BE40" i="17"/>
  <c r="BF40" i="17" s="1"/>
  <c r="BG40" i="17" s="1"/>
  <c r="BF39" i="17"/>
  <c r="BG39" i="17" s="1"/>
  <c r="BE39" i="17"/>
  <c r="BF38" i="17"/>
  <c r="BG38" i="17" s="1"/>
  <c r="BE38" i="17"/>
  <c r="BF37" i="17"/>
  <c r="BG37" i="17" s="1"/>
  <c r="BE37" i="17"/>
  <c r="BF36" i="17"/>
  <c r="BG36" i="17" s="1"/>
  <c r="BE36" i="17"/>
  <c r="BF35" i="17"/>
  <c r="BG35" i="17" s="1"/>
  <c r="BE35" i="17"/>
  <c r="BF34" i="17"/>
  <c r="BG34" i="17" s="1"/>
  <c r="BE34" i="17"/>
  <c r="BF33" i="17"/>
  <c r="BG33" i="17" s="1"/>
  <c r="BE33" i="17"/>
  <c r="BF32" i="17"/>
  <c r="BG32" i="17" s="1"/>
  <c r="BE32" i="17"/>
  <c r="BF31" i="17"/>
  <c r="BG31" i="17" s="1"/>
  <c r="BE31" i="17"/>
  <c r="BF30" i="17"/>
  <c r="BE29" i="17"/>
  <c r="BF29" i="17" s="1"/>
  <c r="BG29" i="17" s="1"/>
  <c r="BE28" i="17"/>
  <c r="BF28" i="17" s="1"/>
  <c r="BG28" i="17" s="1"/>
  <c r="BE27" i="17"/>
  <c r="BF27" i="17" s="1"/>
  <c r="BG27" i="17" s="1"/>
  <c r="BE26" i="17"/>
  <c r="BF26" i="17" s="1"/>
  <c r="BG26" i="17" s="1"/>
  <c r="BE25" i="17"/>
  <c r="BF25" i="17" s="1"/>
  <c r="BG25" i="17" s="1"/>
  <c r="BE24" i="17"/>
  <c r="BF24" i="17" s="1"/>
  <c r="BG24" i="17" s="1"/>
  <c r="BE23" i="17"/>
  <c r="BF23" i="17" s="1"/>
  <c r="BG23" i="17" s="1"/>
  <c r="BF22" i="17"/>
  <c r="BG22" i="17" s="1"/>
  <c r="BE22" i="17"/>
  <c r="BE21" i="17"/>
  <c r="BF21" i="17" s="1"/>
  <c r="BG21" i="17" s="1"/>
  <c r="BE20" i="17"/>
  <c r="BF20" i="17" s="1"/>
  <c r="BG20" i="17" s="1"/>
  <c r="BE19" i="17"/>
  <c r="BF19" i="17" s="1"/>
  <c r="BG19" i="17" s="1"/>
  <c r="BF18" i="17"/>
  <c r="BG18" i="17" s="1"/>
  <c r="BE18" i="17"/>
  <c r="BE17" i="17"/>
  <c r="BF17" i="17" s="1"/>
  <c r="BG17" i="17" s="1"/>
  <c r="BE16" i="17"/>
  <c r="BF16" i="17" s="1"/>
  <c r="BG16" i="17" s="1"/>
  <c r="BE15" i="17"/>
  <c r="BF15" i="17" s="1"/>
  <c r="BG15" i="17" s="1"/>
  <c r="BF14" i="17"/>
  <c r="BG14" i="17" s="1"/>
  <c r="BE14" i="17"/>
  <c r="BE13" i="17"/>
  <c r="BF13" i="17" s="1"/>
  <c r="BG13" i="17" s="1"/>
  <c r="BE12" i="17"/>
  <c r="BF12" i="17" s="1"/>
  <c r="BG12" i="17" s="1"/>
  <c r="BE11" i="17"/>
  <c r="BF11" i="17" s="1"/>
  <c r="BG11" i="17" s="1"/>
  <c r="BF10" i="17"/>
  <c r="BG10" i="17" s="1"/>
  <c r="BE10" i="17"/>
  <c r="BE9" i="17"/>
  <c r="BF9" i="17" s="1"/>
  <c r="BG9" i="17" s="1"/>
  <c r="BE8" i="17"/>
  <c r="BF8" i="17" s="1"/>
  <c r="BG8" i="17" s="1"/>
  <c r="BE7" i="17"/>
  <c r="BF7" i="17" s="1"/>
  <c r="BG7" i="17" s="1"/>
  <c r="BF6" i="17"/>
  <c r="BG6" i="17" s="1"/>
  <c r="BE6" i="17"/>
  <c r="BE5" i="17"/>
  <c r="BF5" i="17" s="1"/>
  <c r="BG5" i="17" s="1"/>
  <c r="BE4" i="17"/>
  <c r="BF4" i="17" s="1"/>
  <c r="BG4" i="17" s="1"/>
  <c r="BE2" i="17"/>
  <c r="BF2" i="17" s="1"/>
  <c r="BG2" i="17" s="1"/>
  <c r="E2" i="14"/>
  <c r="I2" i="14"/>
  <c r="F2" i="14"/>
  <c r="G2" i="14"/>
  <c r="H2" i="14"/>
  <c r="J2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M2" i="14" l="1"/>
  <c r="AG2" i="14"/>
  <c r="BE2" i="14"/>
  <c r="AS2" i="14"/>
  <c r="U2" i="14"/>
  <c r="AR2" i="14"/>
  <c r="AF2" i="14"/>
  <c r="BB2" i="14"/>
  <c r="T2" i="14"/>
  <c r="BD2" i="14"/>
  <c r="BF2" i="14"/>
  <c r="AT2" i="14"/>
  <c r="AH2" i="14"/>
  <c r="V2" i="14"/>
  <c r="BC2" i="14"/>
  <c r="AQ2" i="14"/>
  <c r="AE2" i="14"/>
  <c r="S2" i="14"/>
  <c r="AD2" i="14"/>
  <c r="BA2" i="14"/>
  <c r="AO2" i="14"/>
  <c r="AC2" i="14"/>
  <c r="Q2" i="14"/>
  <c r="AP2" i="14"/>
  <c r="BJ2" i="14"/>
  <c r="AX2" i="14"/>
  <c r="AL2" i="14"/>
  <c r="Z2" i="14"/>
  <c r="N2" i="14"/>
  <c r="R2" i="14"/>
  <c r="BI2" i="14"/>
  <c r="AW2" i="14"/>
  <c r="AK2" i="14"/>
  <c r="Y2" i="14"/>
  <c r="BG2" i="14"/>
  <c r="BL2" i="14"/>
  <c r="AZ2" i="14"/>
  <c r="AN2" i="14"/>
  <c r="AB2" i="14"/>
  <c r="P2" i="14"/>
  <c r="BK2" i="14"/>
  <c r="AY2" i="14"/>
  <c r="AM2" i="14"/>
  <c r="AA2" i="14"/>
  <c r="O2" i="14"/>
  <c r="D2" i="14"/>
  <c r="AU2" i="14"/>
  <c r="AI2" i="14"/>
  <c r="W2" i="14"/>
  <c r="C2" i="14"/>
  <c r="B2" i="14"/>
  <c r="A2" i="14"/>
  <c r="X2" i="14"/>
  <c r="K2" i="14"/>
  <c r="BH2" i="14"/>
  <c r="AV2" i="14"/>
  <c r="AJ2" i="14"/>
  <c r="L2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tc={30338F30-C7B9-44E9-BAA8-4E19B31F692D}</author>
    <author>tc={AE94E3B4-84D1-4102-AA6B-3F2D00302D58}</author>
    <author>tc={AC50FA4C-C087-4252-A203-56337F52175B}</author>
    <author>tc={7DFBFF89-E3EF-40AD-98E4-3C6458113599}</author>
    <author>tc={D08D8FF3-6C88-458A-B666-CF2FD7B58B53}</author>
    <author>tc={3A4A1D64-FF7B-4AF9-9EDE-1BF220C064DD}</author>
    <author>tc={65B1159D-770E-4FC7-A08B-7A5A993E14B1}</author>
  </authors>
  <commentList>
    <comment ref="B2" authorId="0" shapeId="0" xr:uid="{30338F30-C7B9-44E9-BAA8-4E19B31F692D}">
      <text>
        <t>[Threaded comment]
Your version of Excel allows you to read this threaded comment; however, any edits to it will get removed if the file is opened in a newer version of Excel. Learn more: https://go.microsoft.com/fwlink/?linkid=870924
Comment:
    Alinhar envio do status Report</t>
      </text>
    </comment>
    <comment ref="B6" authorId="1" shapeId="0" xr:uid="{AE94E3B4-84D1-4102-AA6B-3F2D00302D58}">
      <text>
        <t>[Threaded comment]
Your version of Excel allows you to read this threaded comment; however, any edits to it will get removed if the file is opened in a newer version of Excel. Learn more: https://go.microsoft.com/fwlink/?linkid=870924
Comment:
    Alinhar quanto a Status Report desse projeto</t>
      </text>
    </comment>
    <comment ref="B16" authorId="2" shapeId="0" xr:uid="{AC50FA4C-C087-4252-A203-56337F52175B}">
      <text>
        <t>[Threaded comment]
Your version of Excel allows you to read this threaded comment; however, any edits to it will get removed if the file is opened in a newer version of Excel. Learn more: https://go.microsoft.com/fwlink/?linkid=870924
Comment:
    Alinhar sobre o Status Report
Reply:
    Alinhamento realizado.</t>
      </text>
    </comment>
    <comment ref="B19" authorId="3" shapeId="0" xr:uid="{7DFBFF89-E3EF-40AD-98E4-3C6458113599}">
      <text>
        <t>[Threaded comment]
Your version of Excel allows you to read this threaded comment; however, any edits to it will get removed if the file is opened in a newer version of Excel. Learn more: https://go.microsoft.com/fwlink/?linkid=870924
Comment:
    Alinhar sobre o envio de status Report</t>
      </text>
    </comment>
    <comment ref="B20" authorId="4" shapeId="0" xr:uid="{D08D8FF3-6C88-458A-B666-CF2FD7B58B53}">
      <text>
        <t>[Threaded comment]
Your version of Excel allows you to read this threaded comment; however, any edits to it will get removed if the file is opened in a newer version of Excel. Learn more: https://go.microsoft.com/fwlink/?linkid=870924
Comment:
    Alinhar sobre o envio de Status Report</t>
      </text>
    </comment>
    <comment ref="B24" authorId="5" shapeId="0" xr:uid="{3A4A1D64-FF7B-4AF9-9EDE-1BF220C064DD}">
      <text>
        <t>[Threaded comment]
Your version of Excel allows you to read this threaded comment; however, any edits to it will get removed if the file is opened in a newer version of Excel. Learn more: https://go.microsoft.com/fwlink/?linkid=870924
Comment:
    Deixar ou não? Porque ainda não temos nada desse projeto</t>
      </text>
    </comment>
    <comment ref="B31" authorId="6" shapeId="0" xr:uid="{65B1159D-770E-4FC7-A08B-7A5A993E14B1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achei nenhum status report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tc={FC89E108-685A-4367-873C-DF524517B582}</author>
    <author>tc={F3802595-7F80-4171-AD89-7377694FEED5}</author>
  </authors>
  <commentList>
    <comment ref="E1" authorId="0" shapeId="0" xr:uid="{FC89E108-685A-4367-873C-DF524517B582}">
      <text>
        <t>[Threaded comment]
Your version of Excel allows you to read this threaded comment; however, any edits to it will get removed if the file is opened in a newer version of Excel. Learn more: https://go.microsoft.com/fwlink/?linkid=870924
Comment:
    Sugestão para status de projetos a partir de DG3</t>
      </text>
    </comment>
    <comment ref="E2" authorId="1" shapeId="0" xr:uid="{F3802595-7F80-4171-AD89-7377694FEED5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status quinzenal, se envido ok para 2 semanas. Caso não enviado, N-ok para as 2 semanas
Reply:
    Projetos on-Hold precisam ser retirados da contagem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tc={07CC8329-4F35-4245-8037-9EF2A043E324}</author>
    <author>tc={B591D65A-BA48-406B-A273-0C88701C46B1}</author>
    <author>tc={6426937B-250C-4EB4-8B78-C7C69C59A75D}</author>
    <author>tc={FCEE6E25-4740-4D95-A518-5E9E9A8B9F67}</author>
    <author>tc={860E89F0-F180-4DE9-8431-C5F3F640276F}</author>
    <author>tc={12B6C753-432F-41CF-8709-CED91AB57A66}</author>
    <author>tc={473DC169-E403-4EBE-AD07-69814ADA0BB8}</author>
  </authors>
  <commentList>
    <comment ref="B2" authorId="0" shapeId="0" xr:uid="{07CC8329-4F35-4245-8037-9EF2A043E324}">
      <text>
        <t>[Threaded comment]
Your version of Excel allows you to read this threaded comment; however, any edits to it will get removed if the file is opened in a newer version of Excel. Learn more: https://go.microsoft.com/fwlink/?linkid=870924
Comment:
    Alinhar envio do status Report</t>
      </text>
    </comment>
    <comment ref="B6" authorId="1" shapeId="0" xr:uid="{B591D65A-BA48-406B-A273-0C88701C46B1}">
      <text>
        <t>[Threaded comment]
Your version of Excel allows you to read this threaded comment; however, any edits to it will get removed if the file is opened in a newer version of Excel. Learn more: https://go.microsoft.com/fwlink/?linkid=870924
Comment:
    Alinhar quanto a Status Report desse projeto</t>
      </text>
    </comment>
    <comment ref="B16" authorId="2" shapeId="0" xr:uid="{6426937B-250C-4EB4-8B78-C7C69C59A75D}">
      <text>
        <t>[Threaded comment]
Your version of Excel allows you to read this threaded comment; however, any edits to it will get removed if the file is opened in a newer version of Excel. Learn more: https://go.microsoft.com/fwlink/?linkid=870924
Comment:
    Alinhar sobre o Status Report
Reply:
    Alinhamento realizado.</t>
      </text>
    </comment>
    <comment ref="B19" authorId="3" shapeId="0" xr:uid="{FCEE6E25-4740-4D95-A518-5E9E9A8B9F67}">
      <text>
        <t>[Threaded comment]
Your version of Excel allows you to read this threaded comment; however, any edits to it will get removed if the file is opened in a newer version of Excel. Learn more: https://go.microsoft.com/fwlink/?linkid=870924
Comment:
    Alinhar sobre o envio de status Report</t>
      </text>
    </comment>
    <comment ref="B21" authorId="4" shapeId="0" xr:uid="{860E89F0-F180-4DE9-8431-C5F3F640276F}">
      <text>
        <t>[Threaded comment]
Your version of Excel allows you to read this threaded comment; however, any edits to it will get removed if the file is opened in a newer version of Excel. Learn more: https://go.microsoft.com/fwlink/?linkid=870924
Comment:
    Alinhar sobre o envio de Status Report</t>
      </text>
    </comment>
    <comment ref="B25" authorId="5" shapeId="0" xr:uid="{12B6C753-432F-41CF-8709-CED91AB57A66}">
      <text>
        <t>[Threaded comment]
Your version of Excel allows you to read this threaded comment; however, any edits to it will get removed if the file is opened in a newer version of Excel. Learn more: https://go.microsoft.com/fwlink/?linkid=870924
Comment:
    Deixar ou não? Porque ainda não temos nada desse projeto</t>
      </text>
    </comment>
    <comment ref="B32" authorId="6" shapeId="0" xr:uid="{473DC169-E403-4EBE-AD07-69814ADA0BB8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achei nenhum status report</t>
      </text>
    </comment>
  </commentList>
</comment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<sst xmlns="http://schemas.openxmlformats.org/spreadsheetml/2006/main" count="844" uniqueCount="246">
  <si>
    <t>Project ID</t>
  </si>
  <si>
    <t>Project Name</t>
  </si>
  <si>
    <t>Status Projeto</t>
  </si>
  <si>
    <t>Responsável pelo Envio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</si>
  <si>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</si>
  <si>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</si>
  <si>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</si>
  <si>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</si>
  <si>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</si>
  <si>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</si>
  <si>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</si>
  <si>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</si>
  <si>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</si>
  <si>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</si>
  <si>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</si>
  <si>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</si>
  <si>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</si>
  <si>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</si>
  <si>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</si>
  <si>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</si>
  <si>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</si>
  <si>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</si>
  <si>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</si>
  <si>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</si>
  <si>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</si>
  <si>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</si>
  <si>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</si>
  <si>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</si>
  <si>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</si>
  <si>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</si>
  <si>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</si>
  <si>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</si>
  <si>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</si>
  <si>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</si>
  <si>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</si>
  <si>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</si>
  <si>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</si>
  <si>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</si>
  <si>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</si>
  <si>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</si>
  <si>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</si>
  <si>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</si>
  <si>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</si>
  <si>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</si>
  <si>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</si>
  <si>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</si>
  <si>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</si>
  <si>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</si>
  <si>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</si>
  <si>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</si>
  <si>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</si>
  <si>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</si>
  <si>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</si>
  <si>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</si>
  <si>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</si>
  <si>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</si>
  <si>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Total de Status nas Semanas</t>
  </si>
  <si>
    <t>Total de status não enviados</t>
  </si>
  <si>
    <t>Total que deveria ter sido enviado</t>
  </si>
  <si>
    <t>OBS</t>
  </si>
  <si>
    <t>PM</t>
  </si>
  <si>
    <t>Detal. Resp. Envio</t>
  </si>
  <si>
    <t>PRJ0010317</t>
  </si>
  <si>
    <t>ADN - Integração PI System x SysCAD _ 2025</t>
  </si>
  <si>
    <t>ativo</t>
  </si>
  <si>
    <t>ok</t>
  </si>
  <si>
    <t>Felipe Athar</t>
  </si>
  <si>
    <t>PRJ-3371</t>
  </si>
  <si>
    <t>ADN24 - Migração do GPA para o ICS</t>
  </si>
  <si>
    <t>PRJ-3413</t>
  </si>
  <si>
    <t>ADN - SGA - Fase 03</t>
  </si>
  <si>
    <t>on hold</t>
  </si>
  <si>
    <t>Thamires Ribeiro</t>
  </si>
  <si>
    <t>PRJ-3509</t>
  </si>
  <si>
    <t>ADN23 - SGE (Sistema de Gestão de Eventos)</t>
  </si>
  <si>
    <t>PRJ-2539</t>
  </si>
  <si>
    <t>ADN24 - Migração PI System para o ICS - Fase 1</t>
  </si>
  <si>
    <t>concluído</t>
  </si>
  <si>
    <t>PRJ0010643</t>
  </si>
  <si>
    <t>ADN25 - FC02 FIBRA MINERODUTO</t>
  </si>
  <si>
    <t>cancelado</t>
  </si>
  <si>
    <t>PRJ-3828</t>
  </si>
  <si>
    <t>ADN25 - FC03 CONECTIVIDADE OPGW</t>
  </si>
  <si>
    <t>PRJ0010573</t>
  </si>
  <si>
    <t>ADN25 - FC06 LTE</t>
  </si>
  <si>
    <t>PRJ-3443</t>
  </si>
  <si>
    <t>ADN25 - FC08 RÁDIO LINK</t>
  </si>
  <si>
    <t>PRJ0010430</t>
  </si>
  <si>
    <t>ADN25 - Migração do PI System para o ICS - Fase 02</t>
  </si>
  <si>
    <t>PRJ0010398</t>
  </si>
  <si>
    <t>Expansion &amp; Renovation Project</t>
  </si>
  <si>
    <t>PRJ0010312</t>
  </si>
  <si>
    <t>HOC - Hydro Operations Center</t>
  </si>
  <si>
    <t>PRJ-1478</t>
  </si>
  <si>
    <t>ICS Config ISE and WLC</t>
  </si>
  <si>
    <t>PRJ0010397</t>
  </si>
  <si>
    <t>Integração Starlink a WLAN controller</t>
  </si>
  <si>
    <t>PRJ-2758</t>
  </si>
  <si>
    <t>PAM - Sistema de Monitoramento Proteção Catódica</t>
  </si>
  <si>
    <t>PRJ0010574</t>
  </si>
  <si>
    <t>PAM22 - FC05 LTE</t>
  </si>
  <si>
    <t>PRJ0010716</t>
  </si>
  <si>
    <t>PAM22 - Fibra Mina Cidade</t>
  </si>
  <si>
    <t>julio.cesar.oliveira@hydro.com</t>
  </si>
  <si>
    <t>OK</t>
  </si>
  <si>
    <t>PRJ0010420</t>
  </si>
  <si>
    <t>PAM22 - Monitoramento das Torres de Transmissão</t>
  </si>
  <si>
    <t>PRJ0010609</t>
  </si>
  <si>
    <t>PAM24 - Ampliação da cobertura do sinal móvel</t>
  </si>
  <si>
    <t>PRJ0010563</t>
  </si>
  <si>
    <t>PAM24 - Gestão de Paradas de Ativos</t>
  </si>
  <si>
    <t>a iniciar</t>
  </si>
  <si>
    <t>PRJ0010543</t>
  </si>
  <si>
    <t>PAM24 - M5 - Corporate Networking</t>
  </si>
  <si>
    <t>PRJ0010541</t>
  </si>
  <si>
    <t>PAM24 - M5 - Cabine Remota</t>
  </si>
  <si>
    <t>PRJ0010532</t>
  </si>
  <si>
    <t>PAM24 Topography Backup</t>
  </si>
  <si>
    <t>PRJ-3821</t>
  </si>
  <si>
    <t>PAM25 - Embuchamento dos Moinhos</t>
  </si>
  <si>
    <t>PRJ0010288</t>
  </si>
  <si>
    <t>PAM25 - GEOTEC - Otimização de Disposição</t>
  </si>
  <si>
    <t>PRJ0010567</t>
  </si>
  <si>
    <t>PAM25 - GEOTEC - Integração Rede Geotecnia</t>
  </si>
  <si>
    <t>PRJ0010144</t>
  </si>
  <si>
    <t>PAM25 - GEOTEC - Verificação Anomalias IA</t>
  </si>
  <si>
    <t>PRJ-3468</t>
  </si>
  <si>
    <t>PAM25 - GEOTEC - Visibilidade noturna</t>
  </si>
  <si>
    <t>PRJ0010223</t>
  </si>
  <si>
    <t>PAM25 - GEOTEC - Monitoramento ZAS</t>
  </si>
  <si>
    <t>PRJ0010379</t>
  </si>
  <si>
    <t>PAM25 - Migração Servidores Despacho</t>
  </si>
  <si>
    <t>PRJ-3441</t>
  </si>
  <si>
    <t>PAM25 - Process Optimization</t>
  </si>
  <si>
    <t>PRJ0010299</t>
  </si>
  <si>
    <t>PAM25 - Otimização Consumo Floculante</t>
  </si>
  <si>
    <t>PRJ0010399</t>
  </si>
  <si>
    <t>PAM25 FPS02 Governança PI System</t>
  </si>
  <si>
    <t>PRJ0010322</t>
  </si>
  <si>
    <t>PAM25 PO01 Controle Regulatório Ciclonagem</t>
  </si>
  <si>
    <t>PRJ0010715</t>
  </si>
  <si>
    <t>PAM26 - Ampliação do CFTV da MPSA</t>
  </si>
  <si>
    <t>PRJ0010558</t>
  </si>
  <si>
    <t>PAM26 - Câmeras Corporais</t>
  </si>
  <si>
    <t>PRJ0010259</t>
  </si>
  <si>
    <t>PoC AVEVA Mobile Operator</t>
  </si>
  <si>
    <t>PRJ0010258</t>
  </si>
  <si>
    <t>Programa Ecoar</t>
  </si>
  <si>
    <t>PRJ0010321</t>
  </si>
  <si>
    <t>Programa-5S Estruturação TI</t>
  </si>
  <si>
    <t>PRJ0010218</t>
  </si>
  <si>
    <t>Migração SGA</t>
  </si>
  <si>
    <t>PRJ0010155</t>
  </si>
  <si>
    <t>ADN26 - Programa Excelência PI System</t>
  </si>
  <si>
    <t>PRJ0010156</t>
  </si>
  <si>
    <t>PAM26 - Programa Excelência PI System</t>
  </si>
  <si>
    <t>PRJ0010610</t>
  </si>
  <si>
    <t>CAP25 - Refresh CFTV</t>
  </si>
  <si>
    <t>PRJ0010400</t>
  </si>
  <si>
    <t>PAM25 - Migração PI System Fase 2</t>
  </si>
  <si>
    <t>PRJ0010157</t>
  </si>
  <si>
    <t>ADN26 New Servers DRP</t>
  </si>
  <si>
    <t>PRJ0010154</t>
  </si>
  <si>
    <t>ADN26 - Server Refresh</t>
  </si>
  <si>
    <t>PRJ0010153</t>
  </si>
  <si>
    <t>PAM26 - Server Refresh</t>
  </si>
  <si>
    <t>PRJ-4030</t>
  </si>
  <si>
    <t>ADN26 Programa Obsolescência Spare Parts</t>
  </si>
  <si>
    <t>PRJ0010151</t>
  </si>
  <si>
    <t>PAM26 Programa Obsolescência Spare Parts</t>
  </si>
  <si>
    <t>PRJ-11198</t>
  </si>
  <si>
    <t>APCs Moinhos SAG</t>
  </si>
  <si>
    <t>Ativo</t>
  </si>
  <si>
    <t>debora.figueiredo@ihm.com.br</t>
  </si>
  <si>
    <t>APC Trem de Bombas</t>
  </si>
  <si>
    <t>Projetos Concluídos %</t>
  </si>
  <si>
    <t>Projetos cancelados %</t>
  </si>
  <si>
    <t>Projetos On Hold %</t>
  </si>
  <si>
    <t>A iniciar %</t>
  </si>
  <si>
    <t>Qtd de Projetos DG3</t>
  </si>
  <si>
    <t>Ativos</t>
  </si>
  <si>
    <t>Projetos Concluídos</t>
  </si>
  <si>
    <t>Projetos cancelados</t>
  </si>
  <si>
    <t>Projetos On Hold</t>
  </si>
  <si>
    <t>A iniciar</t>
  </si>
  <si>
    <t>Status Enviados</t>
  </si>
  <si>
    <t>Consolidado Anual</t>
  </si>
  <si>
    <t>Resposnável pelo Envio</t>
  </si>
  <si>
    <t>PRJ-3736</t>
  </si>
  <si>
    <t>GBS IT PMO</t>
  </si>
  <si>
    <t>Vanessa dos Santos</t>
  </si>
  <si>
    <t>PARCEIRO</t>
  </si>
  <si>
    <t>RADIX</t>
  </si>
  <si>
    <t>Concluído</t>
  </si>
  <si>
    <t>PRJ-3829</t>
  </si>
  <si>
    <t>PRJ-2724</t>
  </si>
  <si>
    <t>PRJ-3372</t>
  </si>
  <si>
    <t>PRJ-3447</t>
  </si>
  <si>
    <t>PRJ-3756</t>
  </si>
  <si>
    <t>ICS Config ICS and WLC</t>
  </si>
  <si>
    <t>PRJ-3448</t>
  </si>
  <si>
    <t>PRJ-2723</t>
  </si>
  <si>
    <t>PRJ-1032</t>
  </si>
  <si>
    <t>vinicius.costa.moraes@Hydro.com</t>
  </si>
  <si>
    <t>PRJ-3414</t>
  </si>
  <si>
    <t>PAM22 - Monitoramento das Torres de Transmissão de Energia via Satélite</t>
  </si>
  <si>
    <t>PRJ-2572</t>
  </si>
  <si>
    <t>PAM24 - Ampliação da cobertura do sinal de telefonia móvel</t>
  </si>
  <si>
    <t>PRJ-2767</t>
  </si>
  <si>
    <t>PAM24 - Gestão de Parads de Ativos</t>
  </si>
  <si>
    <t>PRJ-2905</t>
  </si>
  <si>
    <t>PRJ-2911</t>
  </si>
  <si>
    <t>PAM24 - M5 - Remote Station</t>
  </si>
  <si>
    <t>PRJ-2958</t>
  </si>
  <si>
    <t>PRJ-3815</t>
  </si>
  <si>
    <t>PAM25 - GEOTEC - Otimização de Disposição dos Rejeitos</t>
  </si>
  <si>
    <t>PRJ-2756</t>
  </si>
  <si>
    <t>PAM25 - GEOTEC - Projeto Integração da Rede de Geotecnia</t>
  </si>
  <si>
    <t>PRJ-3691</t>
  </si>
  <si>
    <t>PAM25 - GEOTEC - Verificação de Anomalias nas Barragens por IA</t>
  </si>
  <si>
    <t>PAM25 - GEOTEC - Visibilidade noturna na barragem</t>
  </si>
  <si>
    <t>PRJ-3563</t>
  </si>
  <si>
    <t>PAM25 - Migração dos Servidores do Despacho</t>
  </si>
  <si>
    <t>PAM25 - Process Optimization - Quality improvement of mining product - Advanced control</t>
  </si>
  <si>
    <t>PRJ-3786</t>
  </si>
  <si>
    <t>PAM25 - Processo de Otimização do Consumo de Floculante</t>
  </si>
  <si>
    <t>PRJ-3446</t>
  </si>
  <si>
    <t>PAM25 FPS02_Governança PI System - Fase I</t>
  </si>
  <si>
    <t>On hold</t>
  </si>
  <si>
    <t>PRJ-3720</t>
  </si>
  <si>
    <t>PAM25_PO01_Controle_Regulatorio_Ciclonagem</t>
  </si>
  <si>
    <t>PRJ-1040</t>
  </si>
  <si>
    <t>PAM26 - Ampliação do Sistema de CFTV da MPSA</t>
  </si>
  <si>
    <t>IHM</t>
  </si>
  <si>
    <t>PRJ-2811</t>
  </si>
  <si>
    <t>PRJ-3876</t>
  </si>
  <si>
    <t>PRJ-3877</t>
  </si>
  <si>
    <t>PRJ-3722</t>
  </si>
  <si>
    <t>Programa-5S_Estruturacao dos Almoxarifados de T I_ 2025</t>
  </si>
  <si>
    <t>PRJ-3949</t>
  </si>
  <si>
    <t>Radix</t>
  </si>
  <si>
    <t>PRJ-4027</t>
  </si>
  <si>
    <t>ADN26 - Programa de Excelência do PI System</t>
  </si>
  <si>
    <t>PRJ-4026</t>
  </si>
  <si>
    <t>PAM26 - Programa de Excelência do PI System</t>
  </si>
  <si>
    <t>PRJ001043022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</si>
</sst>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42" applyNumberFormat="1" applyFont="1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16" fillId="0" borderId="12" xfId="0" applyFont="1" applyBorder="1"/>
    <xf numFmtId="0" fontId="16" fillId="0" borderId="13" xfId="0" applyFont="1" applyBorder="1"/>
    <xf numFmtId="0" fontId="0" fillId="34" borderId="14" xfId="0" applyFill="1" applyBorder="1"/>
    <xf numFmtId="0" fontId="0" fillId="34" borderId="15" xfId="0" applyFill="1" applyBorder="1"/>
    <xf numFmtId="0" fontId="0" fillId="0" borderId="12" xfId="0" applyBorder="1"/>
    <xf numFmtId="0" fontId="0" fillId="0" borderId="13" xfId="0" applyBorder="1"/>
    <xf numFmtId="0" fontId="0" fillId="34" borderId="12" xfId="0" applyFill="1" applyBorder="1"/>
    <xf numFmtId="0" fontId="0" fillId="34" borderId="13" xfId="0" applyFill="1" applyBorder="1"/>
    <xf numFmtId="0" fontId="0" fillId="0" borderId="16" xfId="0" applyBorder="1"/>
    <xf numFmtId="0" fontId="17" fillId="33" borderId="0" xfId="0" applyFont="1" applyFill="1"/>
    <xf numFmtId="0" fontId="13" fillId="33" borderId="0" xfId="0" applyFont="1" applyFill="1"/>
    <xf numFmtId="0" fontId="0" fillId="35" borderId="0" xfId="0" applyFill="1"/>
    <xf numFmtId="0" fontId="0" fillId="0" borderId="17" xfId="0" applyBorder="1"/>
    <xf numFmtId="0" fontId="14" fillId="0" borderId="0" xfId="0" applyFont="1"/>
    <xf numFmtId="0" fontId="14" fillId="0" borderId="10" xfId="0" applyFont="1" applyBorder="1"/>
    <xf numFmtId="0" fontId="0" fillId="35" borderId="0" xfId="0" applyFill="1" applyAlignment="1">
      <alignment wrapText="1"/>
    </xf>
    <xf numFmtId="0" fontId="0" fillId="0" borderId="0" xfId="0" applyAlignment="1">
      <alignment wrapText="1"/>
    </xf>
    <xf numFmtId="0" fontId="14" fillId="0" borderId="0" xfId="0" applyFont="1" applyAlignment="1">
      <alignment wrapText="1"/>
    </xf>
    <xf numFmtId="0" fontId="0" fillId="36" borderId="10" xfId="0" applyFill="1" applyBorder="1"/>
    <xf numFmtId="0" fontId="0" fillId="0" borderId="18" xfId="0" applyBorder="1"/>
    <xf numFmtId="0" fontId="0" fillId="37" borderId="10" xfId="0" applyFill="1" applyBorder="1"/>
    <xf numFmtId="0" fontId="18" fillId="0" borderId="0" xfId="0" applyFont="1"/>
    <xf numFmtId="0" fontId="14" fillId="35" borderId="0" xfId="0" applyFont="1" applyFill="1" applyAlignment="1">
      <alignment wrapText="1"/>
    </xf>
    <xf numFmtId="0" fontId="19" fillId="36" borderId="10" xfId="0" applyFont="1" applyFill="1" applyBorder="1"/>
    <xf numFmtId="0" fontId="0" fillId="38" borderId="0" xfId="0" applyFill="1" applyAlignment="1">
      <alignment wrapText="1"/>
    </xf>
    <xf numFmtId="0" fontId="0" fillId="39" borderId="10" xfId="0" applyFill="1" applyBorder="1"/>
    <xf numFmtId="0" fontId="0" fillId="0" borderId="19" xfId="0" applyBorder="1"/>
    <xf numFmtId="0" fontId="14" fillId="35" borderId="19" xfId="0" applyFont="1" applyFill="1" applyBorder="1"/>
    <xf numFmtId="0" fontId="0" fillId="0" borderId="20" xfId="0" applyBorder="1"/>
    <xf numFmtId="0" fontId="0" fillId="40" borderId="10" xfId="0" applyFill="1" applyBorder="1"/>
    <xf numFmtId="0" fontId="0" fillId="39" borderId="0" xfId="0" applyFill="1"/>
    <xf numFmtId="0" fontId="0" fillId="39" borderId="0" xfId="0" applyFill="1" applyAlignment="1">
      <alignment wrapText="1"/>
    </xf>
    <xf numFmtId="0" fontId="20" fillId="0" borderId="0" xfId="0" applyFont="1" applyAlignment="1">
      <alignment vertical="center"/>
    </xf>
    <xf numFmtId="0" fontId="20" fillId="0" borderId="0" xfId="0" applyFont="1"/>
    <xf numFmtId="0" fontId="19" fillId="0" borderId="21" xfId="0" applyFont="1" applyBorder="1"/>
    <xf numFmtId="0" fontId="19" fillId="0" borderId="22" xfId="0" applyFont="1" applyBorder="1"/>
    <xf numFmtId="0" fontId="0" fillId="0" borderId="23" xfId="0" applyBorder="1"/>
    <xf numFmtId="0" fontId="0" fillId="0" borderId="24" xfId="0" applyBorder="1"/>
    <xf numFmtId="0" fontId="19" fillId="0" borderId="21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general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nessa Andrade dos Santos" id="{D946AE85-0CA7-4EF8-845B-3440003C6730}" userId="S::Vanessa.A.Santos@hydro.com::06918c7e-6155-46e7-9df9-66aa4b1d76b9" providerId="AD"/>
  <person displayName="Vanessa Andrade dos Santos" id="{F8D998A1-7F3C-4C52-939D-F083029D07D2}" userId="S::vanessa.a.santos@hydro.com::06918c7e-6155-46e7-9df9-66aa4b1d76b9" providerId="AD"/>
  <person displayName="Julio Oliveira" id="{35C5BA2E-D675-4055-BDCC-A6FCD1B54FA4}" userId="S::julio.cesar.oliveira@hydro.com::94c68244-8212-4397-91fc-da56b57c326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E74578-6452-4198-8AF3-C0841F627FE0}" name="tbl_StatusReport" displayName="tbl_StatusReport" ref="A1:BH52" totalsRowShown="0" headerRowDxfId="120" dataDxfId="119">
  <autoFilter ref="A1:BH52" xr:uid="{83E74578-6452-4198-8AF3-C0841F627FE0}"/>
  <tableColumns count="60">
    <tableColumn id="1" xr3:uid="{4647377D-09B2-4E52-B513-C3EFDF1F3B77}" name="Project ID" dataDxfId="118"/>
    <tableColumn id="2" xr3:uid="{1EFC3378-8540-48A7-BFDB-3B0B7FEE1E91}" name="Project Name" dataDxfId="117"/>
    <tableColumn id="3" xr3:uid="{63642D60-CB02-45D4-BF90-C551A73005E7}" name="Status Projeto" dataDxfId="116"/>
    <tableColumn id="4" xr3:uid="{E95A609A-A81B-45BC-B3B9-07FFCB208FAF}" name="Responsável pelo Envio" dataDxfId="115" dataCellStyle="Normal"/>
    <tableColumn id="5" xr3:uid="{95099C14-44CF-4DF9-B110-9C242326F4CA}" name="Semana 1" dataDxfId="114" dataCellStyle="Normal"/>
    <tableColumn id="6" xr3:uid="{73414AEB-ABC1-4A6A-9CFA-6ED9C059DCAF}" name="Semana 2" dataDxfId="113" dataCellStyle="Normal"/>
    <tableColumn id="7" xr3:uid="{122FFB43-8DB4-4E9E-B22F-D7ADC7687ECE}" name="Semana 3" dataDxfId="112" dataCellStyle="Normal"/>
    <tableColumn id="8" xr3:uid="{1E7C0653-A3EF-4816-957A-20E6F2B21AF2}" name="Semana 4" dataDxfId="111" dataCellStyle="Normal"/>
    <tableColumn id="9" xr3:uid="{1154A540-4FCB-4780-8A79-F70769F72D06}" name="Semana 5" dataDxfId="110" dataCellStyle="Normal"/>
    <tableColumn id="10" xr3:uid="{95D5B214-2B54-4364-8368-63D22D61234F}" name="Semana 6" dataDxfId="109" dataCellStyle="Normal"/>
    <tableColumn id="11" xr3:uid="{65D198C8-B714-4D67-8CD9-20B9A69B14A8}" name="Semana 7" dataDxfId="108" dataCellStyle="Normal"/>
    <tableColumn id="12" xr3:uid="{9F8773A6-C0B8-46FB-A9A5-F8C7663AAB72}" name="Semana 8" dataDxfId="107" dataCellStyle="Normal"/>
    <tableColumn id="13" xr3:uid="{DB086BC0-A2E6-4B72-9E18-0A2773B3BDEC}" name="Semana 9" dataDxfId="106" dataCellStyle="Normal"/>
    <tableColumn id="14" xr3:uid="{03482946-921A-489E-9B6E-13A09D34521F}" name="Semana 10" dataDxfId="105" dataCellStyle="Normal"/>
    <tableColumn id="15" xr3:uid="{36E37EF5-1859-4D70-A226-00032CDBE725}" name="Semana 11" dataDxfId="104" dataCellStyle="Normal"/>
    <tableColumn id="16" xr3:uid="{EA28C418-2D0C-4407-8DEA-6BED9D1F13CD}" name="Semana 12" dataDxfId="103" dataCellStyle="Normal"/>
    <tableColumn id="17" xr3:uid="{03E48B39-D02B-4107-AC9B-850BF98D70F1}" name="Semana 13" dataDxfId="102" dataCellStyle="Normal"/>
    <tableColumn id="18" xr3:uid="{3016A65B-31F8-4B15-AEEF-74725A05E045}" name="Semana 14" dataDxfId="101" dataCellStyle="Normal"/>
    <tableColumn id="19" xr3:uid="{0148934D-5053-41B7-A64C-6ECEE770522E}" name="Semana 15" dataDxfId="100" dataCellStyle="Normal"/>
    <tableColumn id="20" xr3:uid="{9DE17A1F-203B-4603-B5B8-0F73840A571D}" name="Semana 16" dataDxfId="99" dataCellStyle="Normal"/>
    <tableColumn id="21" xr3:uid="{4967A8CE-8AFC-4D25-82EB-3306AF40FA4D}" name="Semana 17" dataDxfId="98" dataCellStyle="Normal"/>
    <tableColumn id="22" xr3:uid="{F5338EA1-8715-4EB8-8099-1305BB6C982A}" name="Semana 18" dataDxfId="97" dataCellStyle="Normal"/>
    <tableColumn id="23" xr3:uid="{495CA1A8-9DB6-4D29-BBED-C2E6348B3CE4}" name="Semana 19" dataDxfId="96" dataCellStyle="Normal"/>
    <tableColumn id="24" xr3:uid="{E7125378-96DB-4D78-85E8-5C7C30485827}" name="Semana 20" dataDxfId="95" dataCellStyle="Normal"/>
    <tableColumn id="25" xr3:uid="{3A40A1FA-9A58-48F2-9956-BD8778E33B35}" name="Semana 21" dataDxfId="94" dataCellStyle="Normal"/>
    <tableColumn id="26" xr3:uid="{CC488376-5634-40F7-A570-73F74BCC52C9}" name="Semana 22" dataDxfId="93" dataCellStyle="Normal"/>
    <tableColumn id="27" xr3:uid="{3C318C5C-FEDD-45B7-AB98-52F9865ED23F}" name="Semana 23" dataDxfId="92" dataCellStyle="Normal"/>
    <tableColumn id="28" xr3:uid="{0AAEB85E-2EBA-4F3D-9DA5-F641D0795AD5}" name="Semana 24" dataDxfId="91" dataCellStyle="Normal"/>
    <tableColumn id="29" xr3:uid="{15A3A05F-39E6-4114-8E21-8948D6D215B6}" name="Semana 25" dataDxfId="90" dataCellStyle="Normal"/>
    <tableColumn id="30" xr3:uid="{82ED50ED-A64E-4DE7-8234-E87F8E1EF798}" name="Semana 26" dataDxfId="89" dataCellStyle="Normal"/>
    <tableColumn id="31" xr3:uid="{BAF65312-CFFF-44AE-9138-5D3A6D27E7C7}" name="Semana 27" dataDxfId="88" dataCellStyle="Normal"/>
    <tableColumn id="32" xr3:uid="{A740F5FB-84C5-4A56-9A8D-D7992F2DF04D}" name="Semana 28" dataDxfId="87" dataCellStyle="Normal"/>
    <tableColumn id="33" xr3:uid="{B574E1B2-4909-4AD3-9F06-4B1258242DB3}" name="Semana 29" dataDxfId="86" dataCellStyle="Normal"/>
    <tableColumn id="34" xr3:uid="{6B841F49-49FD-4D60-B298-ACACAFE16783}" name="Semana 30" dataDxfId="85" dataCellStyle="Normal"/>
    <tableColumn id="35" xr3:uid="{7775AB51-894F-451C-8868-0EA34C0DEF51}" name="Semana 31" dataDxfId="84" dataCellStyle="Normal"/>
    <tableColumn id="36" xr3:uid="{D7E75888-0F8F-4BF3-AADA-273C4A0C85F4}" name="Semana 32" dataDxfId="83" dataCellStyle="Normal"/>
    <tableColumn id="37" xr3:uid="{45AD0369-8FF4-45E2-9A72-A52C5CA873E3}" name="Semana 33" dataDxfId="82" dataCellStyle="Normal"/>
    <tableColumn id="38" xr3:uid="{C5F33218-0780-4982-B1BD-C98114844466}" name="Semana 34" dataDxfId="81" dataCellStyle="Normal"/>
    <tableColumn id="39" xr3:uid="{9A87502B-AB25-4DEE-A852-2EB6CB627ED5}" name="Semana 35" dataDxfId="80" dataCellStyle="Normal"/>
    <tableColumn id="40" xr3:uid="{43993064-1F0B-42B0-8910-20411F7D5206}" name="Semana 36" dataDxfId="79" dataCellStyle="Normal"/>
    <tableColumn id="41" xr3:uid="{8FA42040-EE3D-4B55-9FCF-94904F31B067}" name="Semana 37" dataDxfId="78" dataCellStyle="Normal"/>
    <tableColumn id="42" xr3:uid="{BF992F4E-A115-475B-895A-1D33CFA3B5AE}" name="Semana 38" dataDxfId="77" dataCellStyle="Normal"/>
    <tableColumn id="43" xr3:uid="{094398BA-73C4-4D4E-B5C5-B732C46BB5AC}" name="Semana 39" dataDxfId="76" dataCellStyle="Normal"/>
    <tableColumn id="44" xr3:uid="{093D68FD-B45A-4175-A81E-1802F10A5F2B}" name="Semana 40" dataDxfId="75" dataCellStyle="Normal"/>
    <tableColumn id="45" xr3:uid="{EF9413F4-133C-4D71-9376-15B16CF6D450}" name="Semana 41" dataDxfId="74" dataCellStyle="Normal"/>
    <tableColumn id="46" xr3:uid="{ED936B61-8F48-49B8-B05F-D81645FCAFFA}" name="Semana 42" dataDxfId="73" dataCellStyle="Normal"/>
    <tableColumn id="47" xr3:uid="{27CBDBAC-4916-406F-8E7E-0A96CE34203C}" name="Semana 43" dataDxfId="72" dataCellStyle="Normal"/>
    <tableColumn id="48" xr3:uid="{BC1B5741-A3D0-4F2E-9514-221D71F4D87D}" name="Semana 44" dataDxfId="71" dataCellStyle="Normal"/>
    <tableColumn id="49" xr3:uid="{3F463363-3716-4230-B5F9-A8425BB1BBFD}" name="Semana 45" dataDxfId="70" dataCellStyle="Normal"/>
    <tableColumn id="50" xr3:uid="{B21BE339-C896-4291-925E-91832D88BD3B}" name="Semana 46" dataDxfId="69" dataCellStyle="Normal"/>
    <tableColumn id="51" xr3:uid="{4978273D-36B6-40A4-9E59-57BECD4F31CC}" name="Semana 47" dataDxfId="68" dataCellStyle="Normal"/>
    <tableColumn id="52" xr3:uid="{BE0BD3B9-6E97-48B1-8FF2-EEE0915D3137}" name="Semana 48" dataDxfId="67" dataCellStyle="Normal"/>
    <tableColumn id="53" xr3:uid="{FED24952-113C-4790-993E-3B5172B319B2}" name="Semana 49" dataDxfId="66" dataCellStyle="Normal"/>
    <tableColumn id="54" xr3:uid="{FF8CD072-9365-498B-9E7E-2CBDF528A19B}" name="Semana 50" dataDxfId="65" dataCellStyle="Normal"/>
    <tableColumn id="55" xr3:uid="{A9D5CE35-E74A-4CD9-BA33-ECA5C406AB38}" name="Semana 51" dataDxfId="64" dataCellStyle="Normal"/>
    <tableColumn id="56" xr3:uid="{C086F1D6-06DB-46AF-9DDF-4E460E8BD8E0}" name="Semana 52" dataDxfId="63" dataCellStyle="Normal"/>
    <tableColumn id="57" xr3:uid="{C942B3B3-E3B6-4201-82B8-5641A2709F68}" name="Total de Status nas Semanas" dataDxfId="62" dataCellStyle="Normal"/>
    <tableColumn id="58" xr3:uid="{4EEC2AEC-C5B4-460B-A06F-F44BA640360A}" name="Total de status não enviados" dataDxfId="61" dataCellStyle="Normal"/>
    <tableColumn id="59" xr3:uid="{F27A72D0-C6D2-4CAE-8C97-0F94070EA169}" name="Total que deveria ter sido enviado" dataDxfId="60" dataCellStyle="Normal"/>
    <tableColumn id="60" xr3:uid="{F935478D-2905-48CF-88A8-01F8D0043E04}" name="OBS" dataDxfId="59" dataCellStyle="Normal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4E6BB-0F5E-4E4D-9851-E6D3C097EB26}" name="tbl_StatusReport2" displayName="tbl_StatusReport2" ref="A1:BH43" totalsRowShown="0" headerRowDxfId="58">
  <autoFilter ref="A1:BH43" xr:uid="{83E74578-6452-4198-8AF3-C0841F627FE0}"/>
  <tableColumns count="60">
    <tableColumn id="1" xr3:uid="{60644CF8-7FC5-47A9-8F97-C081DF7E0D50}" name="Project ID" dataCellStyle="Normal"/>
    <tableColumn id="2" xr3:uid="{C2AF5DF4-E408-4A0F-B0FF-D3F1D949D995}" name="Project Name" dataCellStyle="Normal"/>
    <tableColumn id="3" xr3:uid="{C40CFA33-177C-4A0E-B079-EFC40DAB6BC5}" name="Status Projeto" dataCellStyle="Normal"/>
    <tableColumn id="4" xr3:uid="{B067411B-105E-459A-A1F3-21C5FDF1CD52}" name="Resposnável pelo Envio" dataDxfId="57" dataCellStyle="Normal"/>
    <tableColumn id="5" xr3:uid="{B95BED59-99A7-436F-AC30-A28EBCCA6931}" name="Semana 1" dataDxfId="56" dataCellStyle="Normal"/>
    <tableColumn id="6" xr3:uid="{AA50DD29-3BD2-4412-B8CA-5D2D63F23E00}" name="Semana 2" dataDxfId="55" dataCellStyle="Normal"/>
    <tableColumn id="7" xr3:uid="{50862FA4-D291-4946-95C7-BF84D25DEDD2}" name="Semana 3" dataDxfId="54" dataCellStyle="Normal"/>
    <tableColumn id="8" xr3:uid="{7C2FAF54-DB38-4B15-875F-687B7CA3D9DB}" name="Semana 4" dataDxfId="53" dataCellStyle="Normal"/>
    <tableColumn id="9" xr3:uid="{E7FBD991-572B-437F-9490-CF7F73F2802B}" name="Semana 5" dataDxfId="52" dataCellStyle="Normal"/>
    <tableColumn id="10" xr3:uid="{ADEA988C-51D7-4E69-8A79-3B2240A433F1}" name="Semana 6" dataDxfId="51" dataCellStyle="Normal"/>
    <tableColumn id="11" xr3:uid="{77DB9460-2902-4E0A-B35B-A011DEA9E930}" name="Semana 7" dataDxfId="50" dataCellStyle="Normal"/>
    <tableColumn id="12" xr3:uid="{88504A38-4176-4622-8A62-7F35DAD02FD8}" name="Semana 8" dataDxfId="49" dataCellStyle="Normal"/>
    <tableColumn id="13" xr3:uid="{84A6395D-BC23-4C3D-B4DB-A2766FFFC887}" name="Semana 9" dataDxfId="48" dataCellStyle="Normal"/>
    <tableColumn id="14" xr3:uid="{C615CFA6-862C-450D-8227-7B01CBA54D31}" name="Semana 10" dataDxfId="47" dataCellStyle="Normal"/>
    <tableColumn id="15" xr3:uid="{B850C858-77F5-4FDA-B1B3-67E98753E073}" name="Semana 11" dataDxfId="46" dataCellStyle="Normal"/>
    <tableColumn id="16" xr3:uid="{5B024900-3FE2-427A-8C1F-EDE695A2F073}" name="Semana 12" dataDxfId="45" dataCellStyle="Normal"/>
    <tableColumn id="17" xr3:uid="{7E1C5632-B6C3-4F84-B269-653123E54573}" name="Semana 13" dataDxfId="44" dataCellStyle="Normal"/>
    <tableColumn id="18" xr3:uid="{FDE37690-441F-40CF-871D-D8E32B78AB65}" name="Semana 14" dataDxfId="43" dataCellStyle="Normal"/>
    <tableColumn id="19" xr3:uid="{4B879AF5-BDD8-4CCE-BC4D-EEB14F5C4FE6}" name="Semana 15" dataDxfId="42" dataCellStyle="Normal"/>
    <tableColumn id="20" xr3:uid="{88BF33A8-3F7E-4A07-A77D-DEC63A3E1509}" name="Semana 16" dataDxfId="41" dataCellStyle="Normal"/>
    <tableColumn id="21" xr3:uid="{1403F70F-7A64-4AC8-8535-15D6D8BDB4B9}" name="Semana 17" dataDxfId="40" dataCellStyle="Normal"/>
    <tableColumn id="22" xr3:uid="{ECD4A88B-FE92-44FC-B7B8-3B4051F3308E}" name="Semana 18" dataDxfId="39" dataCellStyle="Normal"/>
    <tableColumn id="23" xr3:uid="{F786310B-6FBB-4243-A793-0F09B01CA51B}" name="Semana 19" dataDxfId="38" dataCellStyle="Normal"/>
    <tableColumn id="24" xr3:uid="{3A82CE0E-C593-45FD-87A7-A10A2204BDD7}" name="Semana 20" dataDxfId="37" dataCellStyle="Normal"/>
    <tableColumn id="25" xr3:uid="{68BFF4E4-666B-4869-9A5B-CDA95C7FCEC7}" name="Semana 21" dataDxfId="36" dataCellStyle="Normal"/>
    <tableColumn id="26" xr3:uid="{0EBA6F0D-9236-4C6E-A272-5F35D0EC5AB1}" name="Semana 22" dataDxfId="35" dataCellStyle="Normal"/>
    <tableColumn id="27" xr3:uid="{EA331F7A-2713-4B9A-8BE4-4D02293B94D1}" name="Semana 23" dataDxfId="34" dataCellStyle="Normal"/>
    <tableColumn id="28" xr3:uid="{F9E988BA-9C7F-4DA2-A9E9-29D34ADA88B8}" name="Semana 24" dataDxfId="33" dataCellStyle="Normal"/>
    <tableColumn id="29" xr3:uid="{FCB56C4C-13F5-4BC5-86B1-03980E2095E4}" name="Semana 25" dataDxfId="32" dataCellStyle="Normal"/>
    <tableColumn id="30" xr3:uid="{8E849DFF-59E7-434F-889D-C41E8C12990E}" name="Semana 26" dataDxfId="31" dataCellStyle="Normal"/>
    <tableColumn id="31" xr3:uid="{3E22461B-7491-4D06-9C1D-AA584C13527A}" name="Semana 27" dataDxfId="30" dataCellStyle="Normal"/>
    <tableColumn id="32" xr3:uid="{9E8D9E17-F503-435F-9640-A9CE2F572BDB}" name="Semana 28" dataDxfId="29" dataCellStyle="Normal"/>
    <tableColumn id="33" xr3:uid="{73E0A55D-D20F-4CE7-AA47-08846AD9334E}" name="Semana 29" dataDxfId="28" dataCellStyle="Normal"/>
    <tableColumn id="34" xr3:uid="{347728D7-EE6E-4DB2-820D-EDEA42978F39}" name="Semana 30" dataDxfId="27" dataCellStyle="Normal"/>
    <tableColumn id="35" xr3:uid="{44E5172E-706C-4C6F-B8EA-B3EC54F01EB0}" name="Semana 31" dataDxfId="26" dataCellStyle="Normal"/>
    <tableColumn id="36" xr3:uid="{C842825A-9412-4AB0-830C-41A75F2B05E9}" name="Semana 32" dataDxfId="25" dataCellStyle="Normal"/>
    <tableColumn id="37" xr3:uid="{9BE5AE3B-2B4F-48CE-B0D8-2CA714EBA5AA}" name="Semana 33" dataDxfId="24" dataCellStyle="Normal"/>
    <tableColumn id="38" xr3:uid="{64947CDC-1740-43D0-BBC7-5DF40FE818DB}" name="Semana 34" dataDxfId="23" dataCellStyle="Normal"/>
    <tableColumn id="39" xr3:uid="{6E9FFA5C-C002-4015-AC26-ADE6FD7BD69F}" name="Semana 35" dataDxfId="22" dataCellStyle="Normal"/>
    <tableColumn id="40" xr3:uid="{8C851BDB-E328-41E3-8D67-B236D267C287}" name="Semana 36" dataDxfId="21" dataCellStyle="Normal"/>
    <tableColumn id="41" xr3:uid="{E21EA4CD-8EDF-4B55-8961-16519034BD4E}" name="Semana 37" dataDxfId="20" dataCellStyle="Normal"/>
    <tableColumn id="42" xr3:uid="{B6573B96-9C38-4F68-B9B8-682581FADBC6}" name="Semana 38" dataDxfId="19" dataCellStyle="Normal"/>
    <tableColumn id="43" xr3:uid="{EB8E5AAE-406E-428F-8F43-E9CCC85E95B7}" name="Semana 39" dataDxfId="18" dataCellStyle="Normal"/>
    <tableColumn id="44" xr3:uid="{12200613-60B9-40AC-982D-CB89B99C2521}" name="Semana 40" dataDxfId="17" dataCellStyle="Normal"/>
    <tableColumn id="45" xr3:uid="{6C5EF691-5409-400E-B3FB-D2FE35FD9F60}" name="Semana 41" dataDxfId="16" dataCellStyle="Normal"/>
    <tableColumn id="46" xr3:uid="{0DE71B90-7FB4-4EA4-B156-9F327948F5B3}" name="Semana 42" dataDxfId="15" dataCellStyle="Normal"/>
    <tableColumn id="47" xr3:uid="{E80A05C4-33DB-4CDA-B5AC-9475DAA59C1D}" name="Semana 43" dataDxfId="14" dataCellStyle="Normal"/>
    <tableColumn id="48" xr3:uid="{A13DC0AC-4020-4D91-88A2-A3CF5023D71E}" name="Semana 44" dataDxfId="13" dataCellStyle="Normal"/>
    <tableColumn id="49" xr3:uid="{A129B4C7-FEA3-4455-876A-8598B5495606}" name="Semana 45" dataDxfId="12" dataCellStyle="Normal"/>
    <tableColumn id="50" xr3:uid="{5E4DC677-E036-42BE-A97F-5DAB924E573D}" name="Semana 46" dataDxfId="11" dataCellStyle="Normal"/>
    <tableColumn id="51" xr3:uid="{A67EE59D-51AB-40D8-9CE3-DB8524EC975F}" name="Semana 47" dataDxfId="10" dataCellStyle="Normal"/>
    <tableColumn id="52" xr3:uid="{3A58EC60-C207-4911-81D8-91540AD1ED46}" name="Semana 48" dataDxfId="9" dataCellStyle="Normal"/>
    <tableColumn id="53" xr3:uid="{40541B89-AE21-4406-B4FA-25E62DC9FA1B}" name="Semana 49" dataDxfId="8" dataCellStyle="Normal"/>
    <tableColumn id="54" xr3:uid="{30EF9924-92E3-43A3-B133-E547C044E2E3}" name="Semana 50" dataDxfId="7" dataCellStyle="Normal"/>
    <tableColumn id="55" xr3:uid="{9B7F822E-7A2C-4EE0-8027-D60A40614815}" name="Semana 51" dataDxfId="6" dataCellStyle="Normal"/>
    <tableColumn id="56" xr3:uid="{B949C798-3D55-4A69-AB99-63103C551AB7}" name="Semana 52" dataDxfId="5" dataCellStyle="Normal"/>
    <tableColumn id="57" xr3:uid="{6E7C401A-C5D4-4B4D-9497-9B2289A4E425}" name="Total de Status nas Semanas" dataDxfId="4" dataCellStyle="Normal"/>
    <tableColumn id="58" xr3:uid="{6B89C980-EBAD-4DCE-BA8F-204316393746}" name="Total de status não enviados" dataDxfId="3" dataCellStyle="Normal"/>
    <tableColumn id="59" xr3:uid="{97155E31-5C8F-48CC-A34F-9194D502D533}" name="Total que deveria ter sido enviado" dataCellStyle="Normal"/>
    <tableColumn id="60" xr3:uid="{63CBFB0A-8CCB-4273-AB4B-7AF1EABCA026}" name="OBS" dataCellStyle="Norma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11-19T12:07:58.38" personId="{F8D998A1-7F3C-4C52-939D-F083029D07D2}" id="{30338F30-C7B9-44E9-BAA8-4E19B31F692D}">
    <text>Alinhar envio do status Report</text>
  </threadedComment>
  <threadedComment ref="B6" dT="2025-11-19T12:38:34.14" personId="{F8D998A1-7F3C-4C52-939D-F083029D07D2}" id="{AE94E3B4-84D1-4102-AA6B-3F2D00302D58}">
    <text>Alinhar quanto a Status Report desse projeto</text>
  </threadedComment>
  <threadedComment ref="B16" dT="2025-11-19T13:07:31.84" personId="{F8D998A1-7F3C-4C52-939D-F083029D07D2}" id="{AC50FA4C-C087-4252-A203-56337F52175B}">
    <text>Alinhar sobre o Status Report</text>
  </threadedComment>
  <threadedComment ref="B16" dT="2026-02-11T13:00:28.55" personId="{D946AE85-0CA7-4EF8-845B-3440003C6730}" id="{5FD95C43-7A57-4822-926A-029662C50FDB}" parentId="{AC50FA4C-C087-4252-A203-56337F52175B}">
    <text>Alinhamento realizado.</text>
  </threadedComment>
  <threadedComment ref="B19" dT="2025-11-19T13:08:02.68" personId="{F8D998A1-7F3C-4C52-939D-F083029D07D2}" id="{7DFBFF89-E3EF-40AD-98E4-3C6458113599}">
    <text>Alinhar sobre o envio de status Report</text>
  </threadedComment>
  <threadedComment ref="B20" dT="2025-11-19T13:08:50.69" personId="{F8D998A1-7F3C-4C52-939D-F083029D07D2}" id="{D08D8FF3-6C88-458A-B666-CF2FD7B58B53}">
    <text>Alinhar sobre o envio de Status Report</text>
  </threadedComment>
  <threadedComment ref="B24" dT="2025-11-19T13:11:37.91" personId="{F8D998A1-7F3C-4C52-939D-F083029D07D2}" id="{3A4A1D64-FF7B-4AF9-9EDE-1BF220C064DD}">
    <text>Deixar ou não? Porque ainda não temos nada desse projeto</text>
  </threadedComment>
  <threadedComment ref="B31" dT="2025-11-19T14:02:27.07" personId="{F8D998A1-7F3C-4C52-939D-F083029D07D2}" id="{65B1159D-770E-4FC7-A08B-7A5A993E14B1}">
    <text>Não achei nenhum status report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5-11-12T19:23:23.90" personId="{35C5BA2E-D675-4055-BDCC-A6FCD1B54FA4}" id="{FC89E108-685A-4367-873C-DF524517B582}">
    <text>Sugestão para status de projetos a partir de DG3</text>
  </threadedComment>
  <threadedComment ref="E2" dT="2025-11-12T18:51:23.81" personId="{35C5BA2E-D675-4055-BDCC-A6FCD1B54FA4}" id="{F3802595-7F80-4171-AD89-7377694FEED5}">
    <text>Para status quinzenal, se envido ok para 2 semanas. Caso não enviado, N-ok para as 2 semanas</text>
  </threadedComment>
  <threadedComment ref="E2" dT="2025-11-12T19:17:35.31" personId="{35C5BA2E-D675-4055-BDCC-A6FCD1B54FA4}" id="{29CED684-82F6-4B37-ABB6-4E8139245456}" parentId="{F3802595-7F80-4171-AD89-7377694FEED5}">
    <text>Projetos on-Hold precisam ser retirados da contagem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" dT="2025-11-19T12:07:58.38" personId="{F8D998A1-7F3C-4C52-939D-F083029D07D2}" id="{07CC8329-4F35-4245-8037-9EF2A043E324}">
    <text>Alinhar envio do status Report</text>
  </threadedComment>
  <threadedComment ref="B6" dT="2025-11-19T12:38:34.14" personId="{F8D998A1-7F3C-4C52-939D-F083029D07D2}" id="{B591D65A-BA48-406B-A273-0C88701C46B1}">
    <text>Alinhar quanto a Status Report desse projeto</text>
  </threadedComment>
  <threadedComment ref="B16" dT="2025-11-19T13:07:31.84" personId="{F8D998A1-7F3C-4C52-939D-F083029D07D2}" id="{6426937B-250C-4EB4-8B78-C7C69C59A75D}">
    <text>Alinhar sobre o Status Report</text>
  </threadedComment>
  <threadedComment ref="B16" dT="2026-02-11T13:00:28.55" personId="{D946AE85-0CA7-4EF8-845B-3440003C6730}" id="{D7EA803E-702B-4D85-9BB7-8ED403556FEC}" parentId="{6426937B-250C-4EB4-8B78-C7C69C59A75D}">
    <text>Alinhamento realizado.</text>
  </threadedComment>
  <threadedComment ref="B19" dT="2025-11-19T13:08:02.68" personId="{F8D998A1-7F3C-4C52-939D-F083029D07D2}" id="{FCEE6E25-4740-4D95-A518-5E9E9A8B9F67}">
    <text>Alinhar sobre o envio de status Report</text>
  </threadedComment>
  <threadedComment ref="B21" dT="2025-11-19T13:08:50.69" personId="{F8D998A1-7F3C-4C52-939D-F083029D07D2}" id="{860E89F0-F180-4DE9-8431-C5F3F640276F}">
    <text>Alinhar sobre o envio de Status Report</text>
  </threadedComment>
  <threadedComment ref="B25" dT="2025-11-19T13:11:37.91" personId="{F8D998A1-7F3C-4C52-939D-F083029D07D2}" id="{12B6C753-432F-41CF-8709-CED91AB57A66}">
    <text>Deixar ou não? Porque ainda não temos nada desse projeto</text>
  </threadedComment>
  <threadedComment ref="B32" dT="2025-11-19T14:02:27.07" personId="{F8D998A1-7F3C-4C52-939D-F083029D07D2}" id="{473DC169-E403-4EBE-AD07-69814ADA0BB8}">
    <text>Não achei nenhum status report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9C2D-868A-418F-9F2D-C2B8E259D30D}">
  <dimension ref="A1:BJ53"/>
  <sheetViews>
    <sheetView showGridLines="0" tabSelected="1" zoomScaleNormal="100" workbookViewId="0">
      <pane xSplit="4" topLeftCell="E1" activePane="topRight" state="frozen"/>
      <selection pane="topRight" activeCell="AG52" sqref="F2:AG52"/>
    </sheetView>
  </sheetViews>
  <sheetFormatPr baseColWidth="10" defaultColWidth="9.1640625" defaultRowHeight="15" x14ac:dyDescent="0.2"/>
  <cols>
    <col min="1" max="1" width="21.5" customWidth="1"/>
    <col min="2" max="2" width="44.5" style="1" customWidth="1"/>
    <col min="3" max="3" width="17.5" bestFit="1" customWidth="1"/>
    <col min="4" max="4" width="26.1640625" style="1" bestFit="1" customWidth="1"/>
    <col min="5" max="13" width="13.83203125" style="2" bestFit="1" customWidth="1"/>
    <col min="14" max="56" width="15" style="2" bestFit="1" customWidth="1"/>
    <col min="57" max="57" width="18.83203125" style="2" customWidth="1"/>
    <col min="58" max="58" width="18" style="2" bestFit="1" customWidth="1"/>
    <col min="59" max="59" width="15.5" style="2" customWidth="1"/>
    <col min="60" max="60" width="21.1640625" style="2" customWidth="1"/>
    <col min="61" max="61" width="14.5" bestFit="1" customWidth="1"/>
    <col min="62" max="62" width="17.5" bestFit="1" customWidth="1"/>
    <col min="63" max="16384" width="9.1640625" style="1"/>
  </cols>
  <sheetData>
    <row r="1" spans="1:62" x14ac:dyDescent="0.2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5" t="s">
        <v>60</v>
      </c>
      <c r="BJ1" s="15" t="s">
        <v>61</v>
      </c>
    </row>
    <row r="2" spans="1:62" x14ac:dyDescent="0.2">
      <c r="A2" s="39" t="s">
        <v>62</v>
      </c>
      <c r="B2" s="39" t="s">
        <v>63</v>
      </c>
      <c r="C2" s="39" t="s">
        <v>64</v>
      </c>
      <c r="D2"/>
      <c r="E2" s="44" t="s">
        <v>104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">
        <v>4</v>
      </c>
      <c r="BF2" s="18">
        <v>19</v>
      </c>
      <c r="BG2">
        <v>23</v>
      </c>
      <c r="BH2"/>
      <c r="BI2" t="s">
        <v>66</v>
      </c>
    </row>
    <row r="3" spans="1:62" x14ac:dyDescent="0.2">
      <c r="A3" s="39" t="s">
        <v>67</v>
      </c>
      <c r="B3" s="39" t="s">
        <v>68</v>
      </c>
      <c r="C3" s="39" t="s">
        <v>64</v>
      </c>
      <c r="D3"/>
      <c r="E3" s="44" t="s">
        <v>104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"/>
      <c r="BF3" s="18"/>
      <c r="BG3"/>
      <c r="BH3"/>
      <c r="BI3" t="s">
        <v>66</v>
      </c>
      <c r="BJ3" s="36"/>
    </row>
    <row r="4" spans="1:62" x14ac:dyDescent="0.2">
      <c r="A4" s="39" t="s">
        <v>69</v>
      </c>
      <c r="B4" s="39" t="s">
        <v>70</v>
      </c>
      <c r="C4" s="39" t="s">
        <v>71</v>
      </c>
      <c r="D4"/>
      <c r="E4" s="44" t="s">
        <v>104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">
        <v>3</v>
      </c>
      <c r="BF4" s="18">
        <v>20</v>
      </c>
      <c r="BG4">
        <v>23</v>
      </c>
      <c r="BH4"/>
      <c r="BI4" t="s">
        <v>72</v>
      </c>
    </row>
    <row r="5" spans="1:62" x14ac:dyDescent="0.2">
      <c r="A5" s="39" t="s">
        <v>73</v>
      </c>
      <c r="B5" s="39" t="s">
        <v>74</v>
      </c>
      <c r="C5" s="39" t="s">
        <v>64</v>
      </c>
      <c r="D5"/>
      <c r="E5" s="44" t="s">
        <v>104</v>
      </c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">
        <v>5</v>
      </c>
      <c r="BF5" s="18">
        <v>18</v>
      </c>
      <c r="BG5">
        <v>23</v>
      </c>
      <c r="BH5"/>
      <c r="BI5" t="s">
        <v>66</v>
      </c>
    </row>
    <row r="6" spans="1:62" x14ac:dyDescent="0.2">
      <c r="A6" s="39" t="s">
        <v>75</v>
      </c>
      <c r="B6" s="39" t="s">
        <v>76</v>
      </c>
      <c r="C6" s="39" t="s">
        <v>77</v>
      </c>
      <c r="D6"/>
      <c r="E6" s="44" t="s">
        <v>104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">
        <v>0</v>
      </c>
      <c r="BF6" s="18">
        <v>23</v>
      </c>
      <c r="BG6">
        <v>23</v>
      </c>
      <c r="BH6"/>
      <c r="BI6" t="s">
        <v>66</v>
      </c>
      <c r="BJ6" s="36"/>
    </row>
    <row r="7" spans="1:62" x14ac:dyDescent="0.2">
      <c r="A7" s="39" t="s">
        <v>78</v>
      </c>
      <c r="B7" s="39" t="s">
        <v>79</v>
      </c>
      <c r="C7" s="39" t="s">
        <v>80</v>
      </c>
      <c r="D7"/>
      <c r="E7" s="44" t="s">
        <v>104</v>
      </c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">
        <v>0</v>
      </c>
      <c r="BF7" s="18">
        <v>23</v>
      </c>
      <c r="BG7">
        <v>23</v>
      </c>
      <c r="BH7"/>
      <c r="BI7" t="s">
        <v>66</v>
      </c>
    </row>
    <row r="8" spans="1:62" x14ac:dyDescent="0.2">
      <c r="A8" s="39" t="s">
        <v>81</v>
      </c>
      <c r="B8" s="39" t="s">
        <v>82</v>
      </c>
      <c r="C8" s="39" t="s">
        <v>80</v>
      </c>
      <c r="D8"/>
      <c r="E8" s="44" t="s">
        <v>104</v>
      </c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">
        <v>0</v>
      </c>
      <c r="BF8" s="18">
        <v>23</v>
      </c>
      <c r="BG8">
        <v>23</v>
      </c>
      <c r="BH8"/>
      <c r="BI8" t="s">
        <v>66</v>
      </c>
    </row>
    <row r="9" spans="1:62" x14ac:dyDescent="0.2">
      <c r="A9" s="39" t="s">
        <v>83</v>
      </c>
      <c r="B9" s="39" t="s">
        <v>84</v>
      </c>
      <c r="C9" s="39" t="s">
        <v>71</v>
      </c>
      <c r="D9"/>
      <c r="E9" s="44" t="s">
        <v>104</v>
      </c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">
        <v>0</v>
      </c>
      <c r="BF9" s="18">
        <v>23</v>
      </c>
      <c r="BG9">
        <v>23</v>
      </c>
      <c r="BH9"/>
      <c r="BI9" t="s">
        <v>66</v>
      </c>
    </row>
    <row r="10" spans="1:62" x14ac:dyDescent="0.2">
      <c r="A10" s="39" t="s">
        <v>85</v>
      </c>
      <c r="B10" s="39" t="s">
        <v>86</v>
      </c>
      <c r="C10" s="39" t="s">
        <v>71</v>
      </c>
      <c r="D10"/>
      <c r="E10" s="44" t="s">
        <v>104</v>
      </c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">
        <v>7</v>
      </c>
      <c r="BF10" s="18">
        <v>16</v>
      </c>
      <c r="BG10">
        <v>23</v>
      </c>
      <c r="BH10"/>
      <c r="BI10" t="s">
        <v>66</v>
      </c>
    </row>
    <row r="11" spans="1:62" x14ac:dyDescent="0.2">
      <c r="A11" s="39" t="s">
        <v>87</v>
      </c>
      <c r="B11" s="39" t="s">
        <v>88</v>
      </c>
      <c r="C11" s="39" t="s">
        <v>64</v>
      </c>
      <c r="D11"/>
      <c r="E11" s="44" t="s">
        <v>104</v>
      </c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">
        <v>7</v>
      </c>
      <c r="BF11" s="18">
        <v>16</v>
      </c>
      <c r="BG11">
        <v>23</v>
      </c>
      <c r="BH11"/>
      <c r="BI11" t="s">
        <v>66</v>
      </c>
    </row>
    <row r="12" spans="1:62" x14ac:dyDescent="0.2">
      <c r="A12" s="39" t="s">
        <v>89</v>
      </c>
      <c r="B12" s="39" t="s">
        <v>90</v>
      </c>
      <c r="C12" s="39" t="s">
        <v>64</v>
      </c>
      <c r="D12"/>
      <c r="E12" s="44" t="s">
        <v>104</v>
      </c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">
        <v>0</v>
      </c>
      <c r="BF12" s="18">
        <v>23</v>
      </c>
      <c r="BG12">
        <v>23</v>
      </c>
      <c r="BH12"/>
      <c r="BI12" t="s">
        <v>66</v>
      </c>
    </row>
    <row r="13" spans="1:62" x14ac:dyDescent="0.2">
      <c r="A13" s="39" t="s">
        <v>91</v>
      </c>
      <c r="B13" s="39" t="s">
        <v>92</v>
      </c>
      <c r="C13" s="39" t="s">
        <v>64</v>
      </c>
      <c r="D13"/>
      <c r="E13" s="44" t="s">
        <v>104</v>
      </c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">
        <v>10</v>
      </c>
      <c r="BF13" s="18">
        <v>13</v>
      </c>
      <c r="BG13">
        <v>23</v>
      </c>
      <c r="BH13"/>
      <c r="BI13" t="s">
        <v>66</v>
      </c>
    </row>
    <row r="14" spans="1:62" x14ac:dyDescent="0.2">
      <c r="A14" s="39" t="s">
        <v>93</v>
      </c>
      <c r="B14" s="39" t="s">
        <v>94</v>
      </c>
      <c r="C14" s="39" t="s">
        <v>64</v>
      </c>
      <c r="D14"/>
      <c r="E14" s="44" t="s">
        <v>104</v>
      </c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">
        <v>6</v>
      </c>
      <c r="BF14" s="18">
        <v>17</v>
      </c>
      <c r="BG14">
        <v>23</v>
      </c>
      <c r="BH14"/>
      <c r="BI14" t="s">
        <v>66</v>
      </c>
    </row>
    <row r="15" spans="1:62" x14ac:dyDescent="0.2">
      <c r="A15" s="39" t="s">
        <v>95</v>
      </c>
      <c r="B15" s="39" t="s">
        <v>96</v>
      </c>
      <c r="C15" s="39" t="s">
        <v>77</v>
      </c>
      <c r="D15"/>
      <c r="E15" s="44" t="s">
        <v>104</v>
      </c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">
        <v>0</v>
      </c>
      <c r="BF15" s="18">
        <v>23</v>
      </c>
      <c r="BG15">
        <v>23</v>
      </c>
      <c r="BH15"/>
      <c r="BI15" t="s">
        <v>66</v>
      </c>
    </row>
    <row r="16" spans="1:62" x14ac:dyDescent="0.2">
      <c r="A16" s="39" t="s">
        <v>97</v>
      </c>
      <c r="B16" s="39" t="s">
        <v>98</v>
      </c>
      <c r="C16" s="39" t="s">
        <v>64</v>
      </c>
      <c r="D16"/>
      <c r="E16" s="44" t="s">
        <v>104</v>
      </c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">
        <v>6</v>
      </c>
      <c r="BF16" s="18">
        <v>17</v>
      </c>
      <c r="BG16">
        <v>23</v>
      </c>
      <c r="BH16"/>
      <c r="BI16" t="s">
        <v>72</v>
      </c>
    </row>
    <row r="17" spans="1:62" x14ac:dyDescent="0.2">
      <c r="A17" s="39" t="s">
        <v>99</v>
      </c>
      <c r="B17" s="39" t="s">
        <v>100</v>
      </c>
      <c r="C17" s="39" t="s">
        <v>64</v>
      </c>
      <c r="D17"/>
      <c r="E17" s="44" t="s">
        <v>104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">
        <v>17</v>
      </c>
      <c r="BF17" s="18">
        <v>6</v>
      </c>
      <c r="BG17">
        <v>23</v>
      </c>
      <c r="BH17"/>
      <c r="BI17" t="s">
        <v>66</v>
      </c>
    </row>
    <row r="18" spans="1:62" x14ac:dyDescent="0.2">
      <c r="A18" s="39" t="s">
        <v>101</v>
      </c>
      <c r="B18" s="39" t="s">
        <v>102</v>
      </c>
      <c r="C18" s="39" t="s">
        <v>64</v>
      </c>
      <c r="D18" t="s">
        <v>103</v>
      </c>
      <c r="E18" s="44" t="s">
        <v>104</v>
      </c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">
        <v>5</v>
      </c>
      <c r="BF18" s="18">
        <v>18</v>
      </c>
      <c r="BG18">
        <v>23</v>
      </c>
      <c r="BH18"/>
      <c r="BI18" t="s">
        <v>66</v>
      </c>
    </row>
    <row r="19" spans="1:62" x14ac:dyDescent="0.2">
      <c r="A19" s="39" t="s">
        <v>105</v>
      </c>
      <c r="B19" s="39" t="s">
        <v>106</v>
      </c>
      <c r="C19" s="39" t="s">
        <v>64</v>
      </c>
      <c r="D19"/>
      <c r="E19" s="44" t="s">
        <v>104</v>
      </c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">
        <v>2</v>
      </c>
      <c r="BF19" s="18">
        <v>21</v>
      </c>
      <c r="BG19">
        <v>23</v>
      </c>
      <c r="BH19"/>
      <c r="BI19" t="s">
        <v>72</v>
      </c>
    </row>
    <row r="20" spans="1:62" x14ac:dyDescent="0.2">
      <c r="A20" s="39" t="s">
        <v>107</v>
      </c>
      <c r="B20" s="39" t="s">
        <v>108</v>
      </c>
      <c r="C20" s="39" t="s">
        <v>64</v>
      </c>
      <c r="D20"/>
      <c r="E20" s="44" t="s">
        <v>104</v>
      </c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">
        <v>0</v>
      </c>
      <c r="BF20" s="18">
        <v>23</v>
      </c>
      <c r="BG20">
        <v>23</v>
      </c>
      <c r="BH20"/>
      <c r="BI20" t="s">
        <v>66</v>
      </c>
    </row>
    <row r="21" spans="1:62" x14ac:dyDescent="0.2">
      <c r="A21" s="39" t="s">
        <v>109</v>
      </c>
      <c r="B21" s="39" t="s">
        <v>110</v>
      </c>
      <c r="C21" s="39" t="s">
        <v>111</v>
      </c>
      <c r="D21"/>
      <c r="E21" s="44" t="s">
        <v>104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">
        <v>2</v>
      </c>
      <c r="BF21" s="18">
        <v>21</v>
      </c>
      <c r="BG21">
        <v>23</v>
      </c>
      <c r="BH21"/>
      <c r="BI21" t="s">
        <v>72</v>
      </c>
      <c r="BJ21" s="36"/>
    </row>
    <row r="22" spans="1:62" x14ac:dyDescent="0.2">
      <c r="A22" s="39" t="s">
        <v>112</v>
      </c>
      <c r="B22" s="39" t="s">
        <v>113</v>
      </c>
      <c r="C22" s="39" t="s">
        <v>71</v>
      </c>
      <c r="D22"/>
      <c r="E22" s="44" t="s">
        <v>104</v>
      </c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">
        <v>0</v>
      </c>
      <c r="BF22" s="18">
        <v>23</v>
      </c>
      <c r="BG22">
        <v>23</v>
      </c>
      <c r="BH22"/>
      <c r="BI22" t="s">
        <v>72</v>
      </c>
    </row>
    <row r="23" spans="1:62" x14ac:dyDescent="0.2">
      <c r="A23" s="39" t="s">
        <v>114</v>
      </c>
      <c r="B23" s="39" t="s">
        <v>115</v>
      </c>
      <c r="C23" s="39" t="s">
        <v>64</v>
      </c>
      <c r="D23" t="s">
        <v>103</v>
      </c>
      <c r="E23" s="44" t="s">
        <v>104</v>
      </c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">
        <v>0</v>
      </c>
      <c r="BF23" s="18">
        <v>23</v>
      </c>
      <c r="BG23">
        <v>23</v>
      </c>
      <c r="BH23"/>
      <c r="BI23" t="s">
        <v>72</v>
      </c>
    </row>
    <row r="24" spans="1:62" x14ac:dyDescent="0.2">
      <c r="A24" s="39" t="s">
        <v>116</v>
      </c>
      <c r="B24" s="39" t="s">
        <v>117</v>
      </c>
      <c r="C24" s="39" t="s">
        <v>71</v>
      </c>
      <c r="D24"/>
      <c r="E24" s="44" t="s">
        <v>104</v>
      </c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">
        <v>0</v>
      </c>
      <c r="BF24" s="18">
        <v>23</v>
      </c>
      <c r="BG24">
        <v>23</v>
      </c>
      <c r="BH24"/>
      <c r="BI24" t="s">
        <v>66</v>
      </c>
    </row>
    <row r="25" spans="1:62" x14ac:dyDescent="0.2">
      <c r="A25" s="39" t="s">
        <v>118</v>
      </c>
      <c r="B25" s="39" t="s">
        <v>119</v>
      </c>
      <c r="C25" s="39" t="s">
        <v>111</v>
      </c>
      <c r="D25"/>
      <c r="E25" s="44" t="s">
        <v>104</v>
      </c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">
        <v>0</v>
      </c>
      <c r="BF25" s="18">
        <v>23</v>
      </c>
      <c r="BG25">
        <v>23</v>
      </c>
      <c r="BH25"/>
      <c r="BI25" t="s">
        <v>72</v>
      </c>
    </row>
    <row r="26" spans="1:62" x14ac:dyDescent="0.2">
      <c r="A26" s="39" t="s">
        <v>120</v>
      </c>
      <c r="B26" s="39" t="s">
        <v>121</v>
      </c>
      <c r="C26" s="39" t="s">
        <v>64</v>
      </c>
      <c r="D26"/>
      <c r="E26" s="44" t="s">
        <v>104</v>
      </c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">
        <v>11</v>
      </c>
      <c r="BF26" s="18">
        <v>12</v>
      </c>
      <c r="BG26">
        <v>23</v>
      </c>
      <c r="BH26"/>
      <c r="BI26" t="s">
        <v>72</v>
      </c>
    </row>
    <row r="27" spans="1:62" x14ac:dyDescent="0.2">
      <c r="A27" s="39" t="s">
        <v>122</v>
      </c>
      <c r="B27" s="39" t="s">
        <v>123</v>
      </c>
      <c r="C27" s="39" t="s">
        <v>64</v>
      </c>
      <c r="D27"/>
      <c r="E27" s="44" t="s">
        <v>104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">
        <v>7</v>
      </c>
      <c r="BF27" s="18">
        <v>16</v>
      </c>
      <c r="BG27">
        <v>23</v>
      </c>
      <c r="BH27"/>
      <c r="BI27" t="s">
        <v>72</v>
      </c>
    </row>
    <row r="28" spans="1:62" x14ac:dyDescent="0.2">
      <c r="A28" s="39" t="s">
        <v>124</v>
      </c>
      <c r="B28" s="39" t="s">
        <v>125</v>
      </c>
      <c r="C28" s="39" t="s">
        <v>64</v>
      </c>
      <c r="D28"/>
      <c r="E28" s="44" t="s">
        <v>104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">
        <v>10</v>
      </c>
      <c r="BF28" s="18">
        <v>13</v>
      </c>
      <c r="BG28">
        <v>23</v>
      </c>
      <c r="BH28"/>
      <c r="BI28" t="s">
        <v>72</v>
      </c>
    </row>
    <row r="29" spans="1:62" x14ac:dyDescent="0.2">
      <c r="A29" s="39" t="s">
        <v>126</v>
      </c>
      <c r="B29" s="39" t="s">
        <v>127</v>
      </c>
      <c r="C29" s="39" t="s">
        <v>64</v>
      </c>
      <c r="D29"/>
      <c r="E29" s="44" t="s">
        <v>104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">
        <v>10</v>
      </c>
      <c r="BF29" s="18">
        <v>13</v>
      </c>
      <c r="BG29">
        <v>23</v>
      </c>
      <c r="BH29"/>
      <c r="BI29" t="s">
        <v>72</v>
      </c>
    </row>
    <row r="30" spans="1:62" x14ac:dyDescent="0.2">
      <c r="A30" s="39" t="s">
        <v>128</v>
      </c>
      <c r="B30" s="39" t="s">
        <v>129</v>
      </c>
      <c r="C30" s="39" t="s">
        <v>64</v>
      </c>
      <c r="D30"/>
      <c r="E30" s="44" t="s">
        <v>104</v>
      </c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"/>
      <c r="BF30" s="18">
        <v>23</v>
      </c>
      <c r="BG30"/>
      <c r="BH30"/>
      <c r="BI30" t="s">
        <v>72</v>
      </c>
    </row>
    <row r="31" spans="1:62" x14ac:dyDescent="0.2">
      <c r="A31" s="39" t="s">
        <v>130</v>
      </c>
      <c r="B31" s="39" t="s">
        <v>131</v>
      </c>
      <c r="C31" s="39" t="s">
        <v>64</v>
      </c>
      <c r="D31" t="s">
        <v>103</v>
      </c>
      <c r="E31" s="44" t="s">
        <v>104</v>
      </c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">
        <v>8</v>
      </c>
      <c r="BF31" s="18">
        <v>15</v>
      </c>
      <c r="BG31">
        <v>23</v>
      </c>
      <c r="BH31"/>
      <c r="BI31" t="s">
        <v>72</v>
      </c>
    </row>
    <row r="32" spans="1:62" x14ac:dyDescent="0.2">
      <c r="A32" s="39" t="s">
        <v>132</v>
      </c>
      <c r="B32" s="39" t="s">
        <v>133</v>
      </c>
      <c r="C32" s="39" t="s">
        <v>71</v>
      </c>
      <c r="D32"/>
      <c r="E32" s="44" t="s">
        <v>104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">
        <v>0</v>
      </c>
      <c r="BF32" s="18">
        <v>23</v>
      </c>
      <c r="BG32">
        <v>23</v>
      </c>
      <c r="BH32"/>
      <c r="BI32" t="s">
        <v>72</v>
      </c>
    </row>
    <row r="33" spans="1:62" x14ac:dyDescent="0.2">
      <c r="A33" s="39" t="s">
        <v>134</v>
      </c>
      <c r="B33" s="39" t="s">
        <v>135</v>
      </c>
      <c r="C33" s="39" t="s">
        <v>71</v>
      </c>
      <c r="D33"/>
      <c r="E33" s="44" t="s">
        <v>104</v>
      </c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">
        <v>2.5</v>
      </c>
      <c r="BF33" s="18">
        <v>20.5</v>
      </c>
      <c r="BG33">
        <v>23</v>
      </c>
      <c r="BH33"/>
      <c r="BI33" t="s">
        <v>72</v>
      </c>
      <c r="BJ33" s="36"/>
    </row>
    <row r="34" spans="1:62" x14ac:dyDescent="0.2">
      <c r="A34" s="39" t="s">
        <v>136</v>
      </c>
      <c r="B34" s="39" t="s">
        <v>137</v>
      </c>
      <c r="C34" s="39" t="s">
        <v>64</v>
      </c>
      <c r="D34"/>
      <c r="E34" s="44" t="s">
        <v>104</v>
      </c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">
        <v>5</v>
      </c>
      <c r="BF34" s="18">
        <v>18</v>
      </c>
      <c r="BG34">
        <v>23</v>
      </c>
      <c r="BH34"/>
      <c r="BI34" t="s">
        <v>66</v>
      </c>
    </row>
    <row r="35" spans="1:62" x14ac:dyDescent="0.2">
      <c r="A35" s="39" t="s">
        <v>138</v>
      </c>
      <c r="B35" s="39" t="s">
        <v>139</v>
      </c>
      <c r="C35" s="39" t="s">
        <v>64</v>
      </c>
      <c r="D35"/>
      <c r="E35" s="44" t="s">
        <v>104</v>
      </c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">
        <v>6</v>
      </c>
      <c r="BF35" s="18">
        <v>17</v>
      </c>
      <c r="BG35">
        <v>23</v>
      </c>
      <c r="BH35"/>
      <c r="BI35" t="s">
        <v>72</v>
      </c>
    </row>
    <row r="36" spans="1:62" x14ac:dyDescent="0.2">
      <c r="A36" s="39" t="s">
        <v>140</v>
      </c>
      <c r="B36" s="39" t="s">
        <v>141</v>
      </c>
      <c r="C36" s="39" t="s">
        <v>64</v>
      </c>
      <c r="D36"/>
      <c r="E36" s="44" t="s">
        <v>104</v>
      </c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">
        <v>12</v>
      </c>
      <c r="BF36" s="18">
        <v>11</v>
      </c>
      <c r="BG36">
        <v>23</v>
      </c>
      <c r="BH36"/>
      <c r="BI36" t="s">
        <v>72</v>
      </c>
    </row>
    <row r="37" spans="1:62" x14ac:dyDescent="0.2">
      <c r="A37" s="39" t="s">
        <v>142</v>
      </c>
      <c r="B37" s="39" t="s">
        <v>143</v>
      </c>
      <c r="C37" s="39" t="s">
        <v>64</v>
      </c>
      <c r="D37"/>
      <c r="E37" s="44" t="s">
        <v>104</v>
      </c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">
        <v>1</v>
      </c>
      <c r="BF37" s="18">
        <v>22</v>
      </c>
      <c r="BG37">
        <v>23</v>
      </c>
      <c r="BH37"/>
      <c r="BI37" t="s">
        <v>72</v>
      </c>
    </row>
    <row r="38" spans="1:62" x14ac:dyDescent="0.2">
      <c r="A38" s="39" t="s">
        <v>144</v>
      </c>
      <c r="B38" s="39" t="s">
        <v>145</v>
      </c>
      <c r="C38" s="39" t="s">
        <v>71</v>
      </c>
      <c r="D38"/>
      <c r="E38" s="44" t="s">
        <v>104</v>
      </c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">
        <v>0</v>
      </c>
      <c r="BF38" s="18">
        <v>23</v>
      </c>
      <c r="BG38">
        <v>23</v>
      </c>
      <c r="BH38"/>
      <c r="BI38" t="s">
        <v>72</v>
      </c>
    </row>
    <row r="39" spans="1:62" x14ac:dyDescent="0.2">
      <c r="A39" s="39" t="s">
        <v>146</v>
      </c>
      <c r="B39" s="39" t="s">
        <v>147</v>
      </c>
      <c r="C39" s="39" t="s">
        <v>64</v>
      </c>
      <c r="D39" t="s">
        <v>103</v>
      </c>
      <c r="E39" s="44" t="s">
        <v>104</v>
      </c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">
        <v>0</v>
      </c>
      <c r="BF39" s="18">
        <v>23</v>
      </c>
      <c r="BG39">
        <v>23</v>
      </c>
      <c r="BH39"/>
      <c r="BI39" t="s">
        <v>72</v>
      </c>
    </row>
    <row r="40" spans="1:62" x14ac:dyDescent="0.2">
      <c r="A40" s="39" t="s">
        <v>148</v>
      </c>
      <c r="B40" s="39" t="s">
        <v>149</v>
      </c>
      <c r="C40" s="39" t="s">
        <v>64</v>
      </c>
      <c r="D40" s="34"/>
      <c r="E40" s="44" t="s">
        <v>104</v>
      </c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">
        <v>4</v>
      </c>
      <c r="BF40" s="18">
        <v>19</v>
      </c>
      <c r="BG40">
        <v>23</v>
      </c>
      <c r="BH40"/>
      <c r="BI40" t="s">
        <v>66</v>
      </c>
    </row>
    <row r="41" spans="1:62" x14ac:dyDescent="0.2">
      <c r="A41" s="39" t="s">
        <v>150</v>
      </c>
      <c r="B41" s="39" t="s">
        <v>151</v>
      </c>
      <c r="C41" s="39" t="s">
        <v>64</v>
      </c>
      <c r="D41"/>
      <c r="E41" s="44" t="s">
        <v>104</v>
      </c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">
        <v>5</v>
      </c>
      <c r="BF41" s="18">
        <v>18</v>
      </c>
      <c r="BG41">
        <v>23</v>
      </c>
      <c r="BH41"/>
      <c r="BI41" t="s">
        <v>72</v>
      </c>
    </row>
    <row r="42" spans="1:62" x14ac:dyDescent="0.2">
      <c r="A42" s="39" t="s">
        <v>152</v>
      </c>
      <c r="B42" s="39" t="s">
        <v>153</v>
      </c>
      <c r="C42" s="39" t="s">
        <v>111</v>
      </c>
      <c r="D42"/>
      <c r="E42" s="44" t="s">
        <v>104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>
        <v>0</v>
      </c>
      <c r="BF42" s="18">
        <v>23</v>
      </c>
      <c r="BG42">
        <v>23</v>
      </c>
      <c r="BH42"/>
      <c r="BI42" t="s">
        <v>66</v>
      </c>
    </row>
    <row r="43" spans="1:62" x14ac:dyDescent="0.2">
      <c r="A43" s="39" t="s">
        <v>154</v>
      </c>
      <c r="B43" s="39" t="s">
        <v>155</v>
      </c>
      <c r="C43" s="39" t="s">
        <v>111</v>
      </c>
      <c r="D43"/>
      <c r="E43" s="44" t="s">
        <v>104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>
        <v>0</v>
      </c>
      <c r="BF43" s="18">
        <v>23</v>
      </c>
      <c r="BG43">
        <v>23</v>
      </c>
      <c r="BH43"/>
      <c r="BI43" t="s">
        <v>66</v>
      </c>
    </row>
    <row r="44" spans="1:62" x14ac:dyDescent="0.2">
      <c r="A44" s="39" t="s">
        <v>156</v>
      </c>
      <c r="B44" s="39" t="s">
        <v>157</v>
      </c>
      <c r="C44" s="39" t="s">
        <v>77</v>
      </c>
      <c r="D44"/>
      <c r="E44" s="44" t="s">
        <v>104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18"/>
      <c r="BG44"/>
      <c r="BH44"/>
      <c r="BI44" t="s">
        <v>72</v>
      </c>
    </row>
    <row r="45" spans="1:62" x14ac:dyDescent="0.2">
      <c r="A45" s="39" t="s">
        <v>158</v>
      </c>
      <c r="B45" s="39" t="s">
        <v>159</v>
      </c>
      <c r="C45" s="39" t="s">
        <v>64</v>
      </c>
      <c r="D45"/>
      <c r="E45" s="44" t="s">
        <v>104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18"/>
      <c r="BG45"/>
      <c r="BH45"/>
    </row>
    <row r="46" spans="1:62" x14ac:dyDescent="0.2">
      <c r="A46" s="39" t="s">
        <v>160</v>
      </c>
      <c r="B46" s="39" t="s">
        <v>161</v>
      </c>
      <c r="C46" s="39" t="s">
        <v>80</v>
      </c>
      <c r="D46"/>
      <c r="E46" s="44" t="s">
        <v>104</v>
      </c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18"/>
      <c r="BG46"/>
      <c r="BH46"/>
    </row>
    <row r="47" spans="1:62" x14ac:dyDescent="0.2">
      <c r="A47" s="39" t="s">
        <v>162</v>
      </c>
      <c r="B47" s="39" t="s">
        <v>163</v>
      </c>
      <c r="C47" s="39" t="s">
        <v>111</v>
      </c>
      <c r="D47"/>
      <c r="E47" s="44" t="s">
        <v>104</v>
      </c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18"/>
      <c r="BG47"/>
      <c r="BH47"/>
    </row>
    <row r="48" spans="1:62" x14ac:dyDescent="0.2">
      <c r="A48" s="39" t="s">
        <v>164</v>
      </c>
      <c r="B48" s="39" t="s">
        <v>165</v>
      </c>
      <c r="C48" s="39" t="s">
        <v>111</v>
      </c>
      <c r="D48"/>
      <c r="E48" s="44" t="s">
        <v>104</v>
      </c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18"/>
      <c r="BG48"/>
      <c r="BH48"/>
    </row>
    <row r="49" spans="1:60" x14ac:dyDescent="0.2">
      <c r="A49" s="39" t="s">
        <v>166</v>
      </c>
      <c r="B49" s="39" t="s">
        <v>167</v>
      </c>
      <c r="C49" s="39" t="s">
        <v>80</v>
      </c>
      <c r="D49"/>
      <c r="E49" s="44" t="s">
        <v>104</v>
      </c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18"/>
      <c r="BG49"/>
      <c r="BH49"/>
    </row>
    <row r="50" spans="1:60" x14ac:dyDescent="0.2">
      <c r="A50" s="39" t="s">
        <v>168</v>
      </c>
      <c r="B50" s="39" t="s">
        <v>169</v>
      </c>
      <c r="C50" s="39" t="s">
        <v>80</v>
      </c>
      <c r="D50"/>
      <c r="E50" s="44" t="s">
        <v>104</v>
      </c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18"/>
      <c r="BG50"/>
      <c r="BH50"/>
    </row>
    <row r="51" spans="1:60" x14ac:dyDescent="0.2">
      <c r="A51" s="39" t="s">
        <v>170</v>
      </c>
      <c r="B51" s="38" t="s">
        <v>171</v>
      </c>
      <c r="C51" s="39" t="s">
        <v>172</v>
      </c>
      <c r="D51" t="s">
        <v>173</v>
      </c>
      <c r="E51" s="44" t="s">
        <v>104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18"/>
      <c r="BG51"/>
      <c r="BH51"/>
    </row>
    <row r="52" spans="1:60" x14ac:dyDescent="0.2">
      <c r="A52" s="39" t="s">
        <v>245</v>
      </c>
      <c r="B52" s="38" t="s">
        <v>174</v>
      </c>
      <c r="C52" s="39" t="s">
        <v>172</v>
      </c>
      <c r="D52" t="s">
        <v>173</v>
      </c>
      <c r="E52" s="44" t="s">
        <v>104</v>
      </c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3"/>
      <c r="BG52"/>
      <c r="BH52"/>
    </row>
    <row r="53" spans="1:60" x14ac:dyDescent="0.2">
      <c r="F53" s="3"/>
    </row>
  </sheetData>
  <autoFilter ref="BI1:BJ44" xr:uid="{760E9C2D-868A-418F-9F2D-C2B8E259D30D}"/>
  <conditionalFormatting sqref="BE2:BG52">
    <cfRule type="cellIs" dxfId="2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orientation="portrait" r:id="rId1"/>
  <headerFooter>
    <oddFooter>&amp;L_x000D_&amp;1#&amp;"Aptos"&amp;10&amp;K000000 Interno</oddFoot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B450-F97F-4510-96D7-6F847F04494A}">
  <dimension ref="A1:BL7"/>
  <sheetViews>
    <sheetView zoomScaleNormal="100" workbookViewId="0">
      <selection activeCell="L2" sqref="L2"/>
    </sheetView>
  </sheetViews>
  <sheetFormatPr baseColWidth="10" defaultColWidth="8.83203125" defaultRowHeight="15" x14ac:dyDescent="0.2"/>
  <cols>
    <col min="1" max="1" width="21.6640625" bestFit="1" customWidth="1"/>
    <col min="2" max="2" width="21.5" bestFit="1" customWidth="1"/>
    <col min="3" max="3" width="18.5" bestFit="1" customWidth="1"/>
    <col min="4" max="4" width="12" bestFit="1" customWidth="1"/>
    <col min="5" max="5" width="19.5" bestFit="1" customWidth="1"/>
    <col min="6" max="6" width="6.5" bestFit="1" customWidth="1"/>
    <col min="7" max="8" width="19.5" bestFit="1" customWidth="1"/>
    <col min="9" max="9" width="16.5" bestFit="1" customWidth="1"/>
    <col min="10" max="10" width="8.1640625" bestFit="1" customWidth="1"/>
    <col min="11" max="11" width="15.5" bestFit="1" customWidth="1"/>
    <col min="12" max="12" width="12.5" bestFit="1" customWidth="1"/>
    <col min="13" max="13" width="9.5" bestFit="1" customWidth="1"/>
    <col min="14" max="18" width="12" bestFit="1" customWidth="1"/>
    <col min="19" max="19" width="9.5" bestFit="1" customWidth="1"/>
    <col min="20" max="22" width="12" bestFit="1" customWidth="1"/>
    <col min="23" max="23" width="10.5" bestFit="1" customWidth="1"/>
    <col min="24" max="24" width="12" bestFit="1" customWidth="1"/>
    <col min="25" max="64" width="10.5" bestFit="1" customWidth="1"/>
  </cols>
  <sheetData>
    <row r="1" spans="1:64" ht="16" thickBot="1" x14ac:dyDescent="0.25">
      <c r="A1" s="6" t="s">
        <v>175</v>
      </c>
      <c r="B1" s="6" t="s">
        <v>176</v>
      </c>
      <c r="C1" s="6" t="s">
        <v>177</v>
      </c>
      <c r="D1" s="6" t="s">
        <v>178</v>
      </c>
      <c r="E1" s="6" t="s">
        <v>179</v>
      </c>
      <c r="F1" s="6" t="s">
        <v>180</v>
      </c>
      <c r="G1" s="6" t="s">
        <v>181</v>
      </c>
      <c r="H1" s="6" t="s">
        <v>182</v>
      </c>
      <c r="I1" s="6" t="s">
        <v>183</v>
      </c>
      <c r="J1" s="6" t="s">
        <v>184</v>
      </c>
      <c r="K1" s="6" t="s">
        <v>185</v>
      </c>
      <c r="L1" s="6" t="s">
        <v>186</v>
      </c>
      <c r="M1" s="6" t="s">
        <v>4</v>
      </c>
      <c r="N1" s="6" t="s">
        <v>5</v>
      </c>
      <c r="O1" s="6" t="s">
        <v>6</v>
      </c>
      <c r="P1" s="6" t="s">
        <v>7</v>
      </c>
      <c r="Q1" s="6" t="s">
        <v>8</v>
      </c>
      <c r="R1" s="6" t="s">
        <v>9</v>
      </c>
      <c r="S1" s="6" t="s">
        <v>10</v>
      </c>
      <c r="T1" s="6" t="s">
        <v>11</v>
      </c>
      <c r="U1" s="6" t="s">
        <v>12</v>
      </c>
      <c r="V1" s="6" t="s">
        <v>13</v>
      </c>
      <c r="W1" s="6" t="s">
        <v>14</v>
      </c>
      <c r="X1" s="6" t="s">
        <v>15</v>
      </c>
      <c r="Y1" s="6" t="s">
        <v>16</v>
      </c>
      <c r="Z1" s="6" t="s">
        <v>17</v>
      </c>
      <c r="AA1" s="6" t="s">
        <v>18</v>
      </c>
      <c r="AB1" s="6" t="s">
        <v>19</v>
      </c>
      <c r="AC1" s="6" t="s">
        <v>20</v>
      </c>
      <c r="AD1" s="6" t="s">
        <v>21</v>
      </c>
      <c r="AE1" s="6" t="s">
        <v>22</v>
      </c>
      <c r="AF1" s="6" t="s">
        <v>23</v>
      </c>
      <c r="AG1" s="6" t="s">
        <v>24</v>
      </c>
      <c r="AH1" s="6" t="s">
        <v>25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30</v>
      </c>
      <c r="AN1" s="6" t="s">
        <v>31</v>
      </c>
      <c r="AO1" s="6" t="s">
        <v>32</v>
      </c>
      <c r="AP1" s="6" t="s">
        <v>33</v>
      </c>
      <c r="AQ1" s="6" t="s">
        <v>34</v>
      </c>
      <c r="AR1" s="6" t="s">
        <v>35</v>
      </c>
      <c r="AS1" s="6" t="s">
        <v>36</v>
      </c>
      <c r="AT1" s="6" t="s">
        <v>37</v>
      </c>
      <c r="AU1" s="6" t="s">
        <v>38</v>
      </c>
      <c r="AV1" s="6" t="s">
        <v>39</v>
      </c>
      <c r="AW1" s="6" t="s">
        <v>40</v>
      </c>
      <c r="AX1" s="6" t="s">
        <v>41</v>
      </c>
      <c r="AY1" s="6" t="s">
        <v>42</v>
      </c>
      <c r="AZ1" s="6" t="s">
        <v>43</v>
      </c>
      <c r="BA1" s="6" t="s">
        <v>44</v>
      </c>
      <c r="BB1" s="6" t="s">
        <v>45</v>
      </c>
      <c r="BC1" s="6" t="s">
        <v>46</v>
      </c>
      <c r="BD1" s="6" t="s">
        <v>47</v>
      </c>
      <c r="BE1" s="6" t="s">
        <v>48</v>
      </c>
      <c r="BF1" s="6" t="s">
        <v>49</v>
      </c>
      <c r="BG1" s="6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7" t="s">
        <v>55</v>
      </c>
    </row>
    <row r="2" spans="1:64" x14ac:dyDescent="0.2">
      <c r="A2" s="8">
        <f>G2/$E$2</f>
        <v>5.8823529411764705E-2</v>
      </c>
      <c r="B2" s="8">
        <f>H2/$E$2</f>
        <v>9.8039215686274508E-2</v>
      </c>
      <c r="C2" s="8">
        <f>I2/$E$2</f>
        <v>0.15686274509803921</v>
      </c>
      <c r="D2" s="8">
        <f>J2/$E$2</f>
        <v>0.11764705882352941</v>
      </c>
      <c r="E2" s="8">
        <f>COUNTA(StatusReport_2026_NovaFormula!B2:B55)</f>
        <v>51</v>
      </c>
      <c r="F2" s="8">
        <f>COUNTIF(StatusReport_2026_NovaFormula!C1:C54,"ativo")</f>
        <v>29</v>
      </c>
      <c r="G2" s="8">
        <f>COUNTIF(StatusReport_2026_NovaFormula!C2:C55,"concluído")</f>
        <v>3</v>
      </c>
      <c r="H2" s="8">
        <f>COUNTIF(StatusReport_2026_NovaFormula!C2:C55,"cancelado")</f>
        <v>5</v>
      </c>
      <c r="I2" s="8">
        <f>COUNTIF(StatusReport_2026_NovaFormula!C2:C55,"on hold")</f>
        <v>8</v>
      </c>
      <c r="J2" s="8">
        <f>COUNTIF(StatusReport_2026_NovaFormula!C2:C55,"a iniciar")</f>
        <v>6</v>
      </c>
      <c r="K2" s="8">
        <f>SUM(M7:AC7)</f>
        <v>51</v>
      </c>
      <c r="L2" s="8">
        <f>AVERAGE(M2:AJ2)</f>
        <v>7.3275862068965511E-2</v>
      </c>
      <c r="M2" s="8">
        <f t="shared" ref="M2:AR2" si="0">M7/$F$2</f>
        <v>1.7586206896551724</v>
      </c>
      <c r="N2" s="8">
        <f t="shared" si="0"/>
        <v>0</v>
      </c>
      <c r="O2" s="8">
        <f t="shared" si="0"/>
        <v>0</v>
      </c>
      <c r="P2" s="8">
        <f t="shared" si="0"/>
        <v>0</v>
      </c>
      <c r="Q2" s="8">
        <f t="shared" si="0"/>
        <v>0</v>
      </c>
      <c r="R2" s="8">
        <f t="shared" si="0"/>
        <v>0</v>
      </c>
      <c r="S2" s="8">
        <f t="shared" si="0"/>
        <v>0</v>
      </c>
      <c r="T2" s="8">
        <f t="shared" si="0"/>
        <v>0</v>
      </c>
      <c r="U2" s="8">
        <f t="shared" si="0"/>
        <v>0</v>
      </c>
      <c r="V2" s="8">
        <f t="shared" si="0"/>
        <v>0</v>
      </c>
      <c r="W2" s="8">
        <f t="shared" si="0"/>
        <v>0</v>
      </c>
      <c r="X2" s="8">
        <f t="shared" si="0"/>
        <v>0</v>
      </c>
      <c r="Y2" s="8">
        <f t="shared" si="0"/>
        <v>0</v>
      </c>
      <c r="Z2" s="8">
        <f t="shared" si="0"/>
        <v>0</v>
      </c>
      <c r="AA2" s="8">
        <f t="shared" si="0"/>
        <v>0</v>
      </c>
      <c r="AB2" s="8">
        <f t="shared" si="0"/>
        <v>0</v>
      </c>
      <c r="AC2" s="8">
        <f t="shared" si="0"/>
        <v>0</v>
      </c>
      <c r="AD2" s="8">
        <f t="shared" si="0"/>
        <v>0</v>
      </c>
      <c r="AE2" s="8">
        <f t="shared" si="0"/>
        <v>0</v>
      </c>
      <c r="AF2" s="8">
        <f t="shared" si="0"/>
        <v>0</v>
      </c>
      <c r="AG2" s="8">
        <f t="shared" si="0"/>
        <v>0</v>
      </c>
      <c r="AH2" s="8">
        <f t="shared" si="0"/>
        <v>0</v>
      </c>
      <c r="AI2" s="8">
        <f t="shared" si="0"/>
        <v>0</v>
      </c>
      <c r="AJ2" s="8">
        <f t="shared" si="0"/>
        <v>0</v>
      </c>
      <c r="AK2" s="8">
        <f t="shared" si="0"/>
        <v>0</v>
      </c>
      <c r="AL2" s="8">
        <f t="shared" si="0"/>
        <v>0</v>
      </c>
      <c r="AM2" s="8">
        <f t="shared" si="0"/>
        <v>0</v>
      </c>
      <c r="AN2" s="8">
        <f t="shared" si="0"/>
        <v>0</v>
      </c>
      <c r="AO2" s="8">
        <f t="shared" si="0"/>
        <v>0</v>
      </c>
      <c r="AP2" s="8">
        <f t="shared" si="0"/>
        <v>0</v>
      </c>
      <c r="AQ2" s="8">
        <f t="shared" si="0"/>
        <v>0</v>
      </c>
      <c r="AR2" s="8">
        <f t="shared" si="0"/>
        <v>0</v>
      </c>
      <c r="AS2" s="8">
        <f t="shared" ref="AS2:BL2" si="1">AS7/$F$2</f>
        <v>0</v>
      </c>
      <c r="AT2" s="8">
        <f t="shared" si="1"/>
        <v>0</v>
      </c>
      <c r="AU2" s="8">
        <f t="shared" si="1"/>
        <v>0</v>
      </c>
      <c r="AV2" s="8">
        <f t="shared" si="1"/>
        <v>0</v>
      </c>
      <c r="AW2" s="8">
        <f t="shared" si="1"/>
        <v>0</v>
      </c>
      <c r="AX2" s="8">
        <f t="shared" si="1"/>
        <v>0</v>
      </c>
      <c r="AY2" s="8">
        <f t="shared" si="1"/>
        <v>0</v>
      </c>
      <c r="AZ2" s="8">
        <f t="shared" si="1"/>
        <v>0</v>
      </c>
      <c r="BA2" s="8">
        <f t="shared" si="1"/>
        <v>0</v>
      </c>
      <c r="BB2" s="8">
        <f t="shared" si="1"/>
        <v>0</v>
      </c>
      <c r="BC2" s="8">
        <f t="shared" si="1"/>
        <v>0</v>
      </c>
      <c r="BD2" s="8">
        <f t="shared" si="1"/>
        <v>0</v>
      </c>
      <c r="BE2" s="8">
        <f t="shared" si="1"/>
        <v>0</v>
      </c>
      <c r="BF2" s="8">
        <f t="shared" si="1"/>
        <v>0</v>
      </c>
      <c r="BG2" s="8">
        <f t="shared" si="1"/>
        <v>0</v>
      </c>
      <c r="BH2" s="8">
        <f t="shared" si="1"/>
        <v>0</v>
      </c>
      <c r="BI2" s="8">
        <f t="shared" si="1"/>
        <v>0</v>
      </c>
      <c r="BJ2" s="8">
        <f t="shared" si="1"/>
        <v>0</v>
      </c>
      <c r="BK2" s="8">
        <f t="shared" si="1"/>
        <v>0</v>
      </c>
      <c r="BL2" s="9">
        <f t="shared" si="1"/>
        <v>0</v>
      </c>
    </row>
    <row r="3" spans="1:64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1"/>
    </row>
    <row r="4" spans="1:64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3"/>
    </row>
    <row r="5" spans="1:64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4" x14ac:dyDescent="0.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3"/>
    </row>
    <row r="7" spans="1:64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>
        <f>COUNTA(StatusReport_2026_NovaFormula!E2:E67)</f>
        <v>51</v>
      </c>
      <c r="N7" s="14">
        <f>COUNTA(StatusReport_2026_NovaFormula!F2:F67)</f>
        <v>0</v>
      </c>
      <c r="O7" s="14">
        <f>COUNTA(StatusReport_2026_NovaFormula!G2:G67)</f>
        <v>0</v>
      </c>
      <c r="P7" s="14">
        <f>COUNTA(StatusReport_2026_NovaFormula!H2:H67)</f>
        <v>0</v>
      </c>
      <c r="Q7" s="14">
        <f>COUNTA(StatusReport_2026_NovaFormula!I2:I67)</f>
        <v>0</v>
      </c>
      <c r="R7" s="14">
        <f>COUNTA(StatusReport_2026_NovaFormula!J2:J67)</f>
        <v>0</v>
      </c>
      <c r="S7" s="14">
        <f>COUNTA(StatusReport_2026_NovaFormula!K2:K67)</f>
        <v>0</v>
      </c>
      <c r="T7" s="14">
        <f>COUNTA(StatusReport_2026_NovaFormula!L2:L67)</f>
        <v>0</v>
      </c>
      <c r="U7" s="14">
        <f>COUNTA(StatusReport_2026_NovaFormula!M2:M67)</f>
        <v>0</v>
      </c>
      <c r="V7" s="14">
        <f>COUNTA(StatusReport_2026_NovaFormula!N2:N67)</f>
        <v>0</v>
      </c>
      <c r="W7" s="14">
        <f>COUNTA(StatusReport_2026_NovaFormula!O2:O67)</f>
        <v>0</v>
      </c>
      <c r="X7" s="14">
        <f>COUNTA(StatusReport_2026_NovaFormula!P2:P67)</f>
        <v>0</v>
      </c>
      <c r="Y7" s="14">
        <f>COUNTA(StatusReport_2026_NovaFormula!Q2:Q67)</f>
        <v>0</v>
      </c>
      <c r="Z7" s="14">
        <f>COUNTA(StatusReport_2026_NovaFormula!R2:R67)</f>
        <v>0</v>
      </c>
      <c r="AA7" s="14">
        <f>COUNTA(StatusReport_2026_NovaFormula!S2:S67)</f>
        <v>0</v>
      </c>
      <c r="AB7" s="14">
        <f>COUNTA(StatusReport_2026_NovaFormula!T2:T67)</f>
        <v>0</v>
      </c>
      <c r="AC7" s="14">
        <f>COUNTA(StatusReport_2026_NovaFormula!U2:U67)</f>
        <v>0</v>
      </c>
      <c r="AD7" s="14">
        <f>COUNTA(StatusReport_2026_NovaFormula!V2:V67)</f>
        <v>0</v>
      </c>
      <c r="AE7" s="14">
        <f>COUNTA(StatusReport_2026_NovaFormula!W2:W67)</f>
        <v>0</v>
      </c>
      <c r="AF7" s="14">
        <f>COUNTA(StatusReport_2026_NovaFormula!X2:X67)</f>
        <v>0</v>
      </c>
      <c r="AG7" s="14">
        <f>COUNTA(StatusReport_2026_NovaFormula!Y2:Y67)</f>
        <v>0</v>
      </c>
      <c r="AH7" s="14">
        <f>COUNTA(StatusReport_2026_NovaFormula!Z2:Z67)</f>
        <v>0</v>
      </c>
      <c r="AI7" s="14">
        <f>COUNTA(StatusReport_2026_NovaFormula!AA2:AA67)</f>
        <v>0</v>
      </c>
      <c r="AJ7" s="14">
        <f>COUNTA(StatusReport_2026_NovaFormula!AB2:AB67)</f>
        <v>0</v>
      </c>
      <c r="AK7" s="14">
        <f>COUNTA(StatusReport_2026_NovaFormula!AC2:AC67)</f>
        <v>0</v>
      </c>
      <c r="AL7" s="14">
        <f>COUNTA(StatusReport_2026_NovaFormula!AD2:AD67)</f>
        <v>0</v>
      </c>
      <c r="AM7" s="14">
        <f>COUNTA(StatusReport_2026_NovaFormula!AE2:AE67)</f>
        <v>0</v>
      </c>
      <c r="AN7" s="14">
        <f>COUNTA(StatusReport_2026_NovaFormula!AF2:AF67)</f>
        <v>0</v>
      </c>
      <c r="AO7" s="14">
        <f>COUNTA(StatusReport_2026_NovaFormula!AG2:AG67)</f>
        <v>0</v>
      </c>
      <c r="AP7" s="14">
        <f>COUNTA(StatusReport_2026_NovaFormula!AH2:AH67)</f>
        <v>0</v>
      </c>
      <c r="AQ7" s="14">
        <f>COUNTA(StatusReport_2026_NovaFormula!AI2:AI67)</f>
        <v>0</v>
      </c>
      <c r="AR7" s="14">
        <f>COUNTA(StatusReport_2026_NovaFormula!AJ2:AJ67)</f>
        <v>0</v>
      </c>
      <c r="AS7" s="14">
        <f>COUNTA(StatusReport_2026_NovaFormula!AK2:AK67)</f>
        <v>0</v>
      </c>
      <c r="AT7" s="14">
        <f>COUNTA(StatusReport_2026_NovaFormula!AL2:AL67)</f>
        <v>0</v>
      </c>
      <c r="AU7" s="14">
        <f>COUNTA(StatusReport_2026_NovaFormula!AM2:AM67)</f>
        <v>0</v>
      </c>
      <c r="AV7" s="14">
        <f>COUNTA(StatusReport_2026_NovaFormula!AN2:AN67)</f>
        <v>0</v>
      </c>
      <c r="AW7" s="14">
        <f>COUNTA(StatusReport_2026_NovaFormula!AO2:AO67)</f>
        <v>0</v>
      </c>
      <c r="AX7" s="14">
        <f>COUNTA(StatusReport_2026_NovaFormula!AP2:AP67)</f>
        <v>0</v>
      </c>
      <c r="AY7" s="14">
        <f>COUNTA(StatusReport_2026_NovaFormula!AQ2:AQ67)</f>
        <v>0</v>
      </c>
      <c r="AZ7" s="14">
        <f>COUNTA(StatusReport_2026_NovaFormula!AR2:AR67)</f>
        <v>0</v>
      </c>
      <c r="BA7" s="14">
        <f>COUNTA(StatusReport_2026_NovaFormula!AS2:AS67)</f>
        <v>0</v>
      </c>
      <c r="BB7" s="14">
        <f>COUNTA(StatusReport_2026_NovaFormula!AT2:AT67)</f>
        <v>0</v>
      </c>
      <c r="BC7" s="14">
        <f>COUNTA(StatusReport_2026_NovaFormula!AU2:AU67)</f>
        <v>0</v>
      </c>
      <c r="BD7" s="14">
        <f>COUNTA(StatusReport_2026_NovaFormula!AV2:AV67)</f>
        <v>0</v>
      </c>
      <c r="BE7" s="14">
        <f>COUNTA(StatusReport_2026_NovaFormula!AW2:AW67)</f>
        <v>0</v>
      </c>
      <c r="BF7" s="14">
        <f>COUNTA(StatusReport_2026_NovaFormula!AX2:AX67)</f>
        <v>0</v>
      </c>
      <c r="BG7" s="14">
        <f>COUNTA(StatusReport_2026_NovaFormula!AY2:AY67)</f>
        <v>0</v>
      </c>
      <c r="BH7" s="14">
        <f>COUNTA(StatusReport_2026_NovaFormula!AZ2:AZ67)</f>
        <v>0</v>
      </c>
      <c r="BI7" s="14">
        <f>COUNTA(StatusReport_2026_NovaFormula!BA2:BA67)</f>
        <v>0</v>
      </c>
      <c r="BJ7" s="14">
        <f>COUNTA(StatusReport_2026_NovaFormula!BB2:BB67)</f>
        <v>0</v>
      </c>
      <c r="BK7" s="14">
        <f>COUNTA(StatusReport_2026_NovaFormula!BC2:BC67)</f>
        <v>0</v>
      </c>
      <c r="BL7" s="5">
        <f>COUNTA(StatusReport_2026_NovaFormula!BD2:BD67)</f>
        <v>0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Interno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4083-B0CE-4E56-93B9-C5A9ADAA9CAA}">
  <dimension ref="A1:BJ46"/>
  <sheetViews>
    <sheetView showGridLines="0" zoomScaleNormal="100" workbookViewId="0">
      <pane xSplit="4" topLeftCell="E1" activePane="topRight" state="frozen"/>
      <selection pane="topRight" activeCell="D1" sqref="D1"/>
    </sheetView>
  </sheetViews>
  <sheetFormatPr baseColWidth="10" defaultColWidth="9.1640625" defaultRowHeight="15" x14ac:dyDescent="0.2"/>
  <cols>
    <col min="1" max="1" width="21.5" style="1" customWidth="1"/>
    <col min="2" max="2" width="44.5" style="1" customWidth="1"/>
    <col min="3" max="3" width="17.5" style="1" bestFit="1" customWidth="1"/>
    <col min="4" max="4" width="26.1640625" style="1" bestFit="1" customWidth="1"/>
    <col min="5" max="13" width="13.83203125" style="2" bestFit="1" customWidth="1"/>
    <col min="14" max="56" width="15" style="2" bestFit="1" customWidth="1"/>
    <col min="57" max="57" width="18.83203125" style="2" customWidth="1"/>
    <col min="58" max="58" width="18" style="2" bestFit="1" customWidth="1"/>
    <col min="59" max="59" width="15.5" style="2" customWidth="1"/>
    <col min="60" max="60" width="21.1640625" style="2" customWidth="1"/>
    <col min="61" max="61" width="14.5" bestFit="1" customWidth="1"/>
    <col min="62" max="62" width="17.5" bestFit="1" customWidth="1"/>
    <col min="63" max="16384" width="9.1640625" style="1"/>
  </cols>
  <sheetData>
    <row r="1" spans="1:62" x14ac:dyDescent="0.2">
      <c r="A1" s="15" t="s">
        <v>0</v>
      </c>
      <c r="B1" s="15" t="s">
        <v>1</v>
      </c>
      <c r="C1" s="16" t="s">
        <v>2</v>
      </c>
      <c r="D1" s="15" t="s">
        <v>187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5" t="s">
        <v>60</v>
      </c>
      <c r="BJ1" s="15" t="s">
        <v>61</v>
      </c>
    </row>
    <row r="2" spans="1:62" x14ac:dyDescent="0.2">
      <c r="A2" t="s">
        <v>188</v>
      </c>
      <c r="B2" s="17" t="s">
        <v>63</v>
      </c>
      <c r="C2" t="s">
        <v>64</v>
      </c>
      <c r="D2" t="s">
        <v>189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 t="s">
        <v>65</v>
      </c>
      <c r="R2" s="4" t="s">
        <v>65</v>
      </c>
      <c r="S2" s="4" t="s">
        <v>65</v>
      </c>
      <c r="T2" s="4" t="s">
        <v>65</v>
      </c>
      <c r="U2" s="4"/>
      <c r="V2" s="4"/>
      <c r="W2" s="4" t="s">
        <v>65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>
        <f t="shared" ref="BE2:BE32" si="0">COUNTA(E2:U2)</f>
        <v>4</v>
      </c>
      <c r="BF2" s="18">
        <f ca="1">WEEKNUM(TODAY())-BE2</f>
        <v>20</v>
      </c>
      <c r="BG2">
        <f ca="1">BF2+BE2</f>
        <v>24</v>
      </c>
      <c r="BH2"/>
      <c r="BI2" t="s">
        <v>66</v>
      </c>
      <c r="BJ2" t="s">
        <v>190</v>
      </c>
    </row>
    <row r="3" spans="1:62" x14ac:dyDescent="0.2">
      <c r="A3" t="s">
        <v>67</v>
      </c>
      <c r="B3" s="19" t="s">
        <v>68</v>
      </c>
      <c r="C3" t="s">
        <v>71</v>
      </c>
      <c r="D3" t="s">
        <v>103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18"/>
      <c r="BG3"/>
      <c r="BH3"/>
      <c r="BI3" t="s">
        <v>66</v>
      </c>
      <c r="BJ3" s="36"/>
    </row>
    <row r="4" spans="1:62" x14ac:dyDescent="0.2">
      <c r="A4" t="s">
        <v>69</v>
      </c>
      <c r="B4" t="s">
        <v>70</v>
      </c>
      <c r="C4" t="s">
        <v>71</v>
      </c>
      <c r="D4" t="s">
        <v>191</v>
      </c>
      <c r="E4" s="4"/>
      <c r="F4" s="4"/>
      <c r="G4" s="4"/>
      <c r="H4" s="4"/>
      <c r="I4" s="4"/>
      <c r="J4" s="20"/>
      <c r="K4" s="20"/>
      <c r="L4" s="4"/>
      <c r="M4" s="4"/>
      <c r="N4" s="4"/>
      <c r="O4" s="4"/>
      <c r="P4" s="4"/>
      <c r="Q4" s="4" t="s">
        <v>65</v>
      </c>
      <c r="R4" s="35"/>
      <c r="S4" s="4" t="s">
        <v>65</v>
      </c>
      <c r="T4" s="4" t="s">
        <v>65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>
        <f t="shared" si="0"/>
        <v>3</v>
      </c>
      <c r="BF4" s="18">
        <f t="shared" ref="BF4:BF43" ca="1" si="1">WEEKNUM(TODAY())-BE4</f>
        <v>21</v>
      </c>
      <c r="BG4">
        <f t="shared" ref="BG4:BG43" ca="1" si="2">BF4+BE4</f>
        <v>24</v>
      </c>
      <c r="BH4"/>
      <c r="BI4" t="s">
        <v>72</v>
      </c>
      <c r="BJ4" t="s">
        <v>192</v>
      </c>
    </row>
    <row r="5" spans="1:62" x14ac:dyDescent="0.2">
      <c r="A5" t="s">
        <v>73</v>
      </c>
      <c r="B5" t="s">
        <v>74</v>
      </c>
      <c r="C5" t="s">
        <v>71</v>
      </c>
      <c r="D5" t="s">
        <v>191</v>
      </c>
      <c r="E5" s="4"/>
      <c r="F5" s="4"/>
      <c r="G5" s="4"/>
      <c r="H5" s="4"/>
      <c r="I5" s="4"/>
      <c r="J5" s="4"/>
      <c r="K5" s="4"/>
      <c r="L5" s="4"/>
      <c r="M5" s="4"/>
      <c r="N5" s="4"/>
      <c r="O5" s="4" t="s">
        <v>65</v>
      </c>
      <c r="P5" s="4"/>
      <c r="Q5" s="4" t="s">
        <v>65</v>
      </c>
      <c r="R5" s="4" t="s">
        <v>65</v>
      </c>
      <c r="S5" s="4" t="s">
        <v>65</v>
      </c>
      <c r="T5" s="4" t="s">
        <v>65</v>
      </c>
      <c r="U5" s="4"/>
      <c r="V5" s="4"/>
      <c r="W5" s="4" t="s">
        <v>65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>
        <f t="shared" si="0"/>
        <v>5</v>
      </c>
      <c r="BF5" s="18">
        <f t="shared" ca="1" si="1"/>
        <v>19</v>
      </c>
      <c r="BG5">
        <f t="shared" ca="1" si="2"/>
        <v>24</v>
      </c>
      <c r="BH5"/>
      <c r="BI5" t="s">
        <v>66</v>
      </c>
      <c r="BJ5" t="s">
        <v>192</v>
      </c>
    </row>
    <row r="6" spans="1:62" ht="16" x14ac:dyDescent="0.2">
      <c r="A6" t="s">
        <v>75</v>
      </c>
      <c r="B6" s="21" t="s">
        <v>76</v>
      </c>
      <c r="C6" t="s">
        <v>193</v>
      </c>
      <c r="D6" s="22" t="s">
        <v>189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>
        <f t="shared" si="0"/>
        <v>0</v>
      </c>
      <c r="BF6" s="18">
        <f t="shared" ca="1" si="1"/>
        <v>24</v>
      </c>
      <c r="BG6">
        <f t="shared" ca="1" si="2"/>
        <v>24</v>
      </c>
      <c r="BH6"/>
      <c r="BI6" t="s">
        <v>66</v>
      </c>
      <c r="BJ6" s="37"/>
    </row>
    <row r="7" spans="1:62" x14ac:dyDescent="0.2">
      <c r="A7" t="s">
        <v>194</v>
      </c>
      <c r="B7" t="s">
        <v>79</v>
      </c>
      <c r="C7" t="s">
        <v>111</v>
      </c>
      <c r="D7" t="s">
        <v>103</v>
      </c>
      <c r="E7" s="4" t="s">
        <v>65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>
        <f t="shared" si="0"/>
        <v>1</v>
      </c>
      <c r="BF7" s="18">
        <f t="shared" ca="1" si="1"/>
        <v>23</v>
      </c>
      <c r="BG7">
        <f t="shared" ca="1" si="2"/>
        <v>24</v>
      </c>
      <c r="BH7"/>
      <c r="BI7" t="s">
        <v>66</v>
      </c>
    </row>
    <row r="8" spans="1:62" x14ac:dyDescent="0.2">
      <c r="A8" t="s">
        <v>81</v>
      </c>
      <c r="B8" t="s">
        <v>82</v>
      </c>
      <c r="C8" t="s">
        <v>111</v>
      </c>
      <c r="D8" t="s">
        <v>189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>
        <f t="shared" si="0"/>
        <v>0</v>
      </c>
      <c r="BF8" s="18">
        <f t="shared" ca="1" si="1"/>
        <v>24</v>
      </c>
      <c r="BG8">
        <f t="shared" ca="1" si="2"/>
        <v>24</v>
      </c>
      <c r="BH8"/>
      <c r="BI8" t="s">
        <v>66</v>
      </c>
    </row>
    <row r="9" spans="1:62" x14ac:dyDescent="0.2">
      <c r="A9" t="s">
        <v>195</v>
      </c>
      <c r="B9" t="s">
        <v>84</v>
      </c>
      <c r="C9" t="s">
        <v>111</v>
      </c>
      <c r="D9" t="s">
        <v>103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>
        <f t="shared" si="0"/>
        <v>0</v>
      </c>
      <c r="BF9" s="18">
        <f t="shared" ca="1" si="1"/>
        <v>24</v>
      </c>
      <c r="BG9">
        <f t="shared" ca="1" si="2"/>
        <v>24</v>
      </c>
      <c r="BH9"/>
      <c r="BI9" t="s">
        <v>66</v>
      </c>
    </row>
    <row r="10" spans="1:62" x14ac:dyDescent="0.2">
      <c r="A10" t="s">
        <v>85</v>
      </c>
      <c r="B10" t="s">
        <v>86</v>
      </c>
      <c r="C10" t="s">
        <v>111</v>
      </c>
      <c r="D10" t="s">
        <v>189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>
        <f t="shared" si="0"/>
        <v>0</v>
      </c>
      <c r="BF10" s="18">
        <f t="shared" ca="1" si="1"/>
        <v>24</v>
      </c>
      <c r="BG10">
        <f t="shared" ca="1" si="2"/>
        <v>24</v>
      </c>
      <c r="BH10"/>
      <c r="BI10" t="s">
        <v>66</v>
      </c>
    </row>
    <row r="11" spans="1:62" ht="16" x14ac:dyDescent="0.2">
      <c r="A11" t="s">
        <v>196</v>
      </c>
      <c r="B11" s="23" t="s">
        <v>88</v>
      </c>
      <c r="C11" t="s">
        <v>64</v>
      </c>
      <c r="D11" t="s">
        <v>191</v>
      </c>
      <c r="E11" s="4"/>
      <c r="F11" s="4"/>
      <c r="G11" s="4"/>
      <c r="H11" s="4"/>
      <c r="I11" s="4"/>
      <c r="J11" s="4"/>
      <c r="K11" s="24" t="s">
        <v>65</v>
      </c>
      <c r="L11" s="4"/>
      <c r="M11" s="4"/>
      <c r="N11" s="4"/>
      <c r="O11" s="4" t="s">
        <v>65</v>
      </c>
      <c r="P11" s="4" t="s">
        <v>65</v>
      </c>
      <c r="Q11" s="4" t="s">
        <v>65</v>
      </c>
      <c r="R11" s="4" t="s">
        <v>65</v>
      </c>
      <c r="S11" s="4" t="s">
        <v>65</v>
      </c>
      <c r="T11" s="4" t="s">
        <v>65</v>
      </c>
      <c r="U11" s="4"/>
      <c r="V11" s="4"/>
      <c r="W11" s="4" t="s">
        <v>65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>
        <f t="shared" si="0"/>
        <v>7</v>
      </c>
      <c r="BF11" s="18">
        <f t="shared" ca="1" si="1"/>
        <v>17</v>
      </c>
      <c r="BG11">
        <f t="shared" ca="1" si="2"/>
        <v>24</v>
      </c>
      <c r="BH11"/>
      <c r="BI11" t="s">
        <v>66</v>
      </c>
      <c r="BJ11" t="s">
        <v>192</v>
      </c>
    </row>
    <row r="12" spans="1:62" x14ac:dyDescent="0.2">
      <c r="A12" t="s">
        <v>197</v>
      </c>
      <c r="B12" t="s">
        <v>90</v>
      </c>
      <c r="C12" t="s">
        <v>64</v>
      </c>
      <c r="D12" t="s">
        <v>189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>
        <f t="shared" si="0"/>
        <v>0</v>
      </c>
      <c r="BF12" s="18">
        <f t="shared" ca="1" si="1"/>
        <v>24</v>
      </c>
      <c r="BG12">
        <f t="shared" ca="1" si="2"/>
        <v>24</v>
      </c>
      <c r="BH12"/>
      <c r="BI12" t="s">
        <v>66</v>
      </c>
    </row>
    <row r="13" spans="1:62" x14ac:dyDescent="0.2">
      <c r="A13" t="s">
        <v>198</v>
      </c>
      <c r="B13" t="s">
        <v>92</v>
      </c>
      <c r="C13" t="s">
        <v>64</v>
      </c>
      <c r="D13" t="s">
        <v>103</v>
      </c>
      <c r="E13" s="4"/>
      <c r="F13" s="4" t="s">
        <v>65</v>
      </c>
      <c r="G13" s="4" t="s">
        <v>65</v>
      </c>
      <c r="H13" s="4" t="s">
        <v>65</v>
      </c>
      <c r="I13" s="4" t="s">
        <v>65</v>
      </c>
      <c r="J13" s="4"/>
      <c r="K13" s="4"/>
      <c r="L13" s="4"/>
      <c r="M13" s="4" t="s">
        <v>65</v>
      </c>
      <c r="N13" s="4" t="s">
        <v>65</v>
      </c>
      <c r="O13" s="4"/>
      <c r="P13" s="4" t="s">
        <v>65</v>
      </c>
      <c r="Q13" s="4" t="s">
        <v>65</v>
      </c>
      <c r="R13" s="4" t="s">
        <v>65</v>
      </c>
      <c r="S13" s="4"/>
      <c r="T13" s="4"/>
      <c r="U13" s="4" t="s">
        <v>65</v>
      </c>
      <c r="V13" s="4"/>
      <c r="W13" s="4" t="s">
        <v>65</v>
      </c>
      <c r="X13" s="4"/>
      <c r="Y13" s="4" t="s">
        <v>65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>
        <f t="shared" si="0"/>
        <v>10</v>
      </c>
      <c r="BF13" s="18">
        <f t="shared" ca="1" si="1"/>
        <v>14</v>
      </c>
      <c r="BG13">
        <f t="shared" ca="1" si="2"/>
        <v>24</v>
      </c>
      <c r="BH13"/>
      <c r="BI13" t="s">
        <v>66</v>
      </c>
    </row>
    <row r="14" spans="1:62" x14ac:dyDescent="0.2">
      <c r="A14" t="s">
        <v>93</v>
      </c>
      <c r="B14" t="s">
        <v>199</v>
      </c>
      <c r="C14" t="s">
        <v>64</v>
      </c>
      <c r="D14" t="s">
        <v>189</v>
      </c>
      <c r="E14" s="4" t="s">
        <v>65</v>
      </c>
      <c r="F14" s="4"/>
      <c r="G14" s="4"/>
      <c r="H14" s="4" t="s">
        <v>65</v>
      </c>
      <c r="I14" s="4"/>
      <c r="J14" s="4"/>
      <c r="K14" s="4" t="s">
        <v>65</v>
      </c>
      <c r="L14" s="4" t="s">
        <v>65</v>
      </c>
      <c r="M14" s="4"/>
      <c r="N14" s="4" t="s">
        <v>65</v>
      </c>
      <c r="O14" s="4"/>
      <c r="P14" s="4"/>
      <c r="Q14" s="4"/>
      <c r="R14" s="4" t="s">
        <v>65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>
        <f t="shared" si="0"/>
        <v>6</v>
      </c>
      <c r="BF14" s="18">
        <f t="shared" ca="1" si="1"/>
        <v>18</v>
      </c>
      <c r="BG14">
        <f t="shared" ca="1" si="2"/>
        <v>24</v>
      </c>
      <c r="BH14"/>
      <c r="BI14" t="s">
        <v>66</v>
      </c>
    </row>
    <row r="15" spans="1:62" x14ac:dyDescent="0.2">
      <c r="A15" t="s">
        <v>200</v>
      </c>
      <c r="B15" t="s">
        <v>96</v>
      </c>
      <c r="C15" t="s">
        <v>64</v>
      </c>
      <c r="D15" t="s">
        <v>189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>
        <f t="shared" si="0"/>
        <v>0</v>
      </c>
      <c r="BF15" s="18">
        <f t="shared" ca="1" si="1"/>
        <v>24</v>
      </c>
      <c r="BG15">
        <f t="shared" ca="1" si="2"/>
        <v>24</v>
      </c>
      <c r="BH15"/>
      <c r="BI15" t="s">
        <v>66</v>
      </c>
    </row>
    <row r="16" spans="1:62" ht="16" x14ac:dyDescent="0.2">
      <c r="A16" t="s">
        <v>97</v>
      </c>
      <c r="B16" s="21" t="s">
        <v>98</v>
      </c>
      <c r="C16" t="s">
        <v>64</v>
      </c>
      <c r="D16" t="s">
        <v>189</v>
      </c>
      <c r="E16" s="4"/>
      <c r="F16" s="4"/>
      <c r="G16" s="4"/>
      <c r="H16" s="4"/>
      <c r="I16" s="4"/>
      <c r="J16" s="4"/>
      <c r="K16" s="4"/>
      <c r="L16" s="4"/>
      <c r="M16" s="4" t="s">
        <v>65</v>
      </c>
      <c r="N16" s="4"/>
      <c r="O16" s="4" t="s">
        <v>65</v>
      </c>
      <c r="P16" s="4"/>
      <c r="Q16" s="4" t="s">
        <v>65</v>
      </c>
      <c r="R16" s="4" t="s">
        <v>65</v>
      </c>
      <c r="S16" s="4" t="s">
        <v>65</v>
      </c>
      <c r="T16" s="4" t="s">
        <v>65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>
        <f t="shared" si="0"/>
        <v>6</v>
      </c>
      <c r="BF16" s="18">
        <f t="shared" ca="1" si="1"/>
        <v>18</v>
      </c>
      <c r="BG16">
        <f t="shared" ca="1" si="2"/>
        <v>24</v>
      </c>
      <c r="BH16"/>
      <c r="BI16" t="s">
        <v>72</v>
      </c>
      <c r="BJ16" t="s">
        <v>190</v>
      </c>
    </row>
    <row r="17" spans="1:62" x14ac:dyDescent="0.2">
      <c r="A17" t="s">
        <v>201</v>
      </c>
      <c r="B17" t="s">
        <v>100</v>
      </c>
      <c r="C17" t="s">
        <v>64</v>
      </c>
      <c r="D17" t="s">
        <v>103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>
        <f t="shared" si="0"/>
        <v>0</v>
      </c>
      <c r="BF17" s="18">
        <f t="shared" ca="1" si="1"/>
        <v>24</v>
      </c>
      <c r="BG17">
        <f t="shared" ca="1" si="2"/>
        <v>24</v>
      </c>
      <c r="BH17"/>
      <c r="BI17" t="s">
        <v>66</v>
      </c>
    </row>
    <row r="18" spans="1:62" x14ac:dyDescent="0.2">
      <c r="A18" t="s">
        <v>202</v>
      </c>
      <c r="B18" t="s">
        <v>102</v>
      </c>
      <c r="C18" t="s">
        <v>64</v>
      </c>
      <c r="D18" t="s">
        <v>203</v>
      </c>
      <c r="E18" s="4" t="s">
        <v>65</v>
      </c>
      <c r="F18" s="4" t="s">
        <v>65</v>
      </c>
      <c r="G18" s="4" t="s">
        <v>65</v>
      </c>
      <c r="H18" s="4" t="s">
        <v>65</v>
      </c>
      <c r="I18" s="4" t="s">
        <v>65</v>
      </c>
      <c r="J18" s="4" t="s">
        <v>65</v>
      </c>
      <c r="K18" s="4" t="s">
        <v>65</v>
      </c>
      <c r="L18" s="4" t="s">
        <v>65</v>
      </c>
      <c r="M18" s="4" t="s">
        <v>65</v>
      </c>
      <c r="N18" s="4" t="s">
        <v>65</v>
      </c>
      <c r="O18" s="4" t="s">
        <v>65</v>
      </c>
      <c r="P18" s="4" t="s">
        <v>65</v>
      </c>
      <c r="Q18" s="4" t="s">
        <v>65</v>
      </c>
      <c r="R18" s="4" t="s">
        <v>65</v>
      </c>
      <c r="S18" s="4" t="s">
        <v>65</v>
      </c>
      <c r="T18" s="4" t="s">
        <v>65</v>
      </c>
      <c r="U18" s="4" t="s">
        <v>65</v>
      </c>
      <c r="V18" s="4" t="s">
        <v>65</v>
      </c>
      <c r="W18" s="4" t="s">
        <v>65</v>
      </c>
      <c r="X18" s="4" t="s">
        <v>65</v>
      </c>
      <c r="Y18" s="4" t="s">
        <v>65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>
        <f t="shared" si="0"/>
        <v>17</v>
      </c>
      <c r="BF18" s="18">
        <f t="shared" ca="1" si="1"/>
        <v>7</v>
      </c>
      <c r="BG18">
        <f t="shared" ca="1" si="2"/>
        <v>24</v>
      </c>
      <c r="BH18"/>
      <c r="BI18" t="s">
        <v>66</v>
      </c>
    </row>
    <row r="19" spans="1:62" ht="32" x14ac:dyDescent="0.2">
      <c r="A19" t="s">
        <v>204</v>
      </c>
      <c r="B19" s="21" t="s">
        <v>205</v>
      </c>
      <c r="C19" s="27" t="s">
        <v>64</v>
      </c>
      <c r="D19" s="22" t="s">
        <v>189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4" t="s">
        <v>65</v>
      </c>
      <c r="P19" s="4"/>
      <c r="Q19" s="4" t="s">
        <v>65</v>
      </c>
      <c r="R19" s="4" t="s">
        <v>65</v>
      </c>
      <c r="S19" s="4" t="s">
        <v>65</v>
      </c>
      <c r="T19" s="4" t="s">
        <v>65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>
        <f t="shared" si="0"/>
        <v>5</v>
      </c>
      <c r="BF19" s="18">
        <f t="shared" ca="1" si="1"/>
        <v>19</v>
      </c>
      <c r="BG19">
        <f t="shared" ca="1" si="2"/>
        <v>24</v>
      </c>
      <c r="BH19"/>
      <c r="BI19" t="s">
        <v>72</v>
      </c>
      <c r="BJ19" s="22" t="s">
        <v>190</v>
      </c>
    </row>
    <row r="20" spans="1:62" ht="32" x14ac:dyDescent="0.2">
      <c r="A20" t="s">
        <v>206</v>
      </c>
      <c r="B20" s="22" t="s">
        <v>207</v>
      </c>
      <c r="C20" s="25" t="s">
        <v>64</v>
      </c>
      <c r="D20" t="s">
        <v>189</v>
      </c>
      <c r="E20" s="4"/>
      <c r="F20" s="24"/>
      <c r="G20" s="4"/>
      <c r="H20" s="24"/>
      <c r="I20" s="24"/>
      <c r="J20" s="24"/>
      <c r="K20" s="24"/>
      <c r="L20" s="24"/>
      <c r="M20" s="24"/>
      <c r="N20" s="2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>
        <f t="shared" si="0"/>
        <v>0</v>
      </c>
      <c r="BF20" s="18">
        <f t="shared" ca="1" si="1"/>
        <v>24</v>
      </c>
      <c r="BG20">
        <f t="shared" ca="1" si="2"/>
        <v>24</v>
      </c>
      <c r="BH20"/>
      <c r="BI20" t="s">
        <v>66</v>
      </c>
    </row>
    <row r="21" spans="1:62" ht="16" x14ac:dyDescent="0.2">
      <c r="A21" t="s">
        <v>208</v>
      </c>
      <c r="B21" s="28" t="s">
        <v>209</v>
      </c>
      <c r="C21" t="s">
        <v>64</v>
      </c>
      <c r="D21" s="22" t="s">
        <v>189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4"/>
      <c r="P21" s="4"/>
      <c r="Q21" s="4"/>
      <c r="R21" s="4"/>
      <c r="S21" s="4" t="s">
        <v>65</v>
      </c>
      <c r="T21" s="4" t="s">
        <v>65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>
        <f t="shared" si="0"/>
        <v>2</v>
      </c>
      <c r="BF21" s="18">
        <f t="shared" ca="1" si="1"/>
        <v>22</v>
      </c>
      <c r="BG21">
        <f t="shared" ca="1" si="2"/>
        <v>24</v>
      </c>
      <c r="BH21"/>
      <c r="BI21" t="s">
        <v>72</v>
      </c>
      <c r="BJ21" s="37"/>
    </row>
    <row r="22" spans="1:62" x14ac:dyDescent="0.2">
      <c r="A22" t="s">
        <v>210</v>
      </c>
      <c r="B22" t="s">
        <v>113</v>
      </c>
      <c r="C22" t="s">
        <v>71</v>
      </c>
      <c r="D22" t="s">
        <v>189</v>
      </c>
      <c r="E22" s="4"/>
      <c r="F22" s="24"/>
      <c r="G22" s="4"/>
      <c r="H22" s="24"/>
      <c r="I22" s="24"/>
      <c r="J22" s="24"/>
      <c r="K22" s="24"/>
      <c r="L22" s="24"/>
      <c r="M22" s="24"/>
      <c r="N22" s="2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>
        <f t="shared" si="0"/>
        <v>0</v>
      </c>
      <c r="BF22" s="18">
        <f t="shared" ca="1" si="1"/>
        <v>24</v>
      </c>
      <c r="BG22">
        <f t="shared" ca="1" si="2"/>
        <v>24</v>
      </c>
      <c r="BH22"/>
      <c r="BI22" t="s">
        <v>72</v>
      </c>
    </row>
    <row r="23" spans="1:62" x14ac:dyDescent="0.2">
      <c r="A23" t="s">
        <v>211</v>
      </c>
      <c r="B23" t="s">
        <v>212</v>
      </c>
      <c r="C23" t="s">
        <v>64</v>
      </c>
      <c r="D23" t="s">
        <v>103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4"/>
      <c r="P23" s="4"/>
      <c r="Q23" s="4"/>
      <c r="R23" s="4"/>
      <c r="S23" s="4"/>
      <c r="T23" s="4"/>
      <c r="U23" s="4"/>
      <c r="V23" s="4" t="s">
        <v>65</v>
      </c>
      <c r="W23" s="4"/>
      <c r="X23" s="4"/>
      <c r="Y23" s="4" t="s">
        <v>65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>
        <f t="shared" si="0"/>
        <v>0</v>
      </c>
      <c r="BF23" s="18">
        <f t="shared" ca="1" si="1"/>
        <v>24</v>
      </c>
      <c r="BG23">
        <f t="shared" ca="1" si="2"/>
        <v>24</v>
      </c>
      <c r="BH23"/>
      <c r="BI23" t="s">
        <v>72</v>
      </c>
    </row>
    <row r="24" spans="1:62" x14ac:dyDescent="0.2">
      <c r="A24" t="s">
        <v>213</v>
      </c>
      <c r="B24" t="s">
        <v>117</v>
      </c>
      <c r="C24" t="s">
        <v>71</v>
      </c>
      <c r="D24" t="s">
        <v>189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>
        <f t="shared" si="0"/>
        <v>0</v>
      </c>
      <c r="BF24" s="18">
        <f t="shared" ca="1" si="1"/>
        <v>24</v>
      </c>
      <c r="BG24">
        <f t="shared" ca="1" si="2"/>
        <v>24</v>
      </c>
      <c r="BH24"/>
      <c r="BI24" t="s">
        <v>66</v>
      </c>
    </row>
    <row r="25" spans="1:62" ht="16" x14ac:dyDescent="0.2">
      <c r="A25" t="s">
        <v>118</v>
      </c>
      <c r="B25" s="17" t="s">
        <v>119</v>
      </c>
      <c r="C25" t="s">
        <v>111</v>
      </c>
      <c r="D25" s="22" t="s">
        <v>189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>
        <f t="shared" si="0"/>
        <v>0</v>
      </c>
      <c r="BF25" s="18">
        <f t="shared" ca="1" si="1"/>
        <v>24</v>
      </c>
      <c r="BG25">
        <f t="shared" ca="1" si="2"/>
        <v>24</v>
      </c>
      <c r="BH25"/>
      <c r="BI25" t="s">
        <v>72</v>
      </c>
      <c r="BJ25" s="22"/>
    </row>
    <row r="26" spans="1:62" ht="16" x14ac:dyDescent="0.2">
      <c r="A26" t="s">
        <v>214</v>
      </c>
      <c r="B26" s="22" t="s">
        <v>215</v>
      </c>
      <c r="C26" t="s">
        <v>64</v>
      </c>
      <c r="D26" s="22" t="s">
        <v>189</v>
      </c>
      <c r="E26" s="24"/>
      <c r="F26" s="29"/>
      <c r="G26" s="29" t="s">
        <v>65</v>
      </c>
      <c r="H26" s="29" t="s">
        <v>65</v>
      </c>
      <c r="I26" s="24"/>
      <c r="J26" s="24" t="s">
        <v>65</v>
      </c>
      <c r="K26" s="24"/>
      <c r="L26" s="29" t="s">
        <v>65</v>
      </c>
      <c r="M26" s="29" t="s">
        <v>65</v>
      </c>
      <c r="N26" s="24"/>
      <c r="O26" s="4" t="s">
        <v>104</v>
      </c>
      <c r="P26" s="4" t="s">
        <v>104</v>
      </c>
      <c r="Q26" s="4" t="s">
        <v>65</v>
      </c>
      <c r="R26" s="4" t="s">
        <v>65</v>
      </c>
      <c r="S26" s="4" t="s">
        <v>65</v>
      </c>
      <c r="T26" s="4" t="s">
        <v>65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>
        <f t="shared" si="0"/>
        <v>11</v>
      </c>
      <c r="BF26" s="18">
        <f t="shared" ca="1" si="1"/>
        <v>13</v>
      </c>
      <c r="BG26">
        <f t="shared" ca="1" si="2"/>
        <v>24</v>
      </c>
      <c r="BH26"/>
      <c r="BI26" t="s">
        <v>72</v>
      </c>
      <c r="BJ26" s="22" t="s">
        <v>190</v>
      </c>
    </row>
    <row r="27" spans="1:62" ht="32" x14ac:dyDescent="0.2">
      <c r="A27" t="s">
        <v>216</v>
      </c>
      <c r="B27" s="22" t="s">
        <v>217</v>
      </c>
      <c r="C27" t="s">
        <v>172</v>
      </c>
      <c r="D27" s="22" t="s">
        <v>103</v>
      </c>
      <c r="E27" s="24"/>
      <c r="F27" s="29"/>
      <c r="G27" s="29" t="s">
        <v>65</v>
      </c>
      <c r="H27" s="29" t="s">
        <v>65</v>
      </c>
      <c r="I27" s="24"/>
      <c r="J27" s="24" t="s">
        <v>65</v>
      </c>
      <c r="K27" s="24"/>
      <c r="L27" s="29"/>
      <c r="M27" s="29"/>
      <c r="N27" s="24"/>
      <c r="O27" s="4"/>
      <c r="P27" s="4"/>
      <c r="Q27" s="4" t="s">
        <v>65</v>
      </c>
      <c r="R27" s="4" t="s">
        <v>65</v>
      </c>
      <c r="S27" s="4" t="s">
        <v>65</v>
      </c>
      <c r="T27" s="4" t="s">
        <v>65</v>
      </c>
      <c r="U27" s="4"/>
      <c r="V27" s="4"/>
      <c r="W27" s="4" t="s">
        <v>65</v>
      </c>
      <c r="X27" s="4" t="s">
        <v>65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>
        <f t="shared" si="0"/>
        <v>7</v>
      </c>
      <c r="BF27" s="18">
        <f t="shared" ca="1" si="1"/>
        <v>17</v>
      </c>
      <c r="BG27">
        <f t="shared" ca="1" si="2"/>
        <v>24</v>
      </c>
      <c r="BH27"/>
      <c r="BI27" t="s">
        <v>72</v>
      </c>
      <c r="BJ27" s="22" t="s">
        <v>190</v>
      </c>
    </row>
    <row r="28" spans="1:62" ht="32" x14ac:dyDescent="0.2">
      <c r="A28" t="s">
        <v>218</v>
      </c>
      <c r="B28" s="22" t="s">
        <v>219</v>
      </c>
      <c r="C28" t="s">
        <v>64</v>
      </c>
      <c r="D28" s="22" t="s">
        <v>103</v>
      </c>
      <c r="E28" s="24"/>
      <c r="F28" s="29"/>
      <c r="G28" s="29" t="s">
        <v>65</v>
      </c>
      <c r="H28" s="29" t="s">
        <v>65</v>
      </c>
      <c r="I28" s="24"/>
      <c r="J28" s="24" t="s">
        <v>65</v>
      </c>
      <c r="K28" s="24"/>
      <c r="L28" s="29" t="s">
        <v>65</v>
      </c>
      <c r="M28" s="29" t="s">
        <v>65</v>
      </c>
      <c r="N28" s="24"/>
      <c r="O28" s="4" t="s">
        <v>104</v>
      </c>
      <c r="P28" s="4" t="s">
        <v>104</v>
      </c>
      <c r="Q28" s="4"/>
      <c r="R28" s="4" t="s">
        <v>65</v>
      </c>
      <c r="S28" s="4" t="s">
        <v>65</v>
      </c>
      <c r="T28" s="4" t="s">
        <v>65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>
        <f t="shared" si="0"/>
        <v>10</v>
      </c>
      <c r="BF28" s="18">
        <f t="shared" ca="1" si="1"/>
        <v>14</v>
      </c>
      <c r="BG28">
        <f t="shared" ca="1" si="2"/>
        <v>24</v>
      </c>
      <c r="BH28"/>
      <c r="BI28" t="s">
        <v>72</v>
      </c>
      <c r="BJ28" s="22" t="s">
        <v>190</v>
      </c>
    </row>
    <row r="29" spans="1:62" ht="16" x14ac:dyDescent="0.2">
      <c r="A29" t="s">
        <v>126</v>
      </c>
      <c r="B29" s="22" t="s">
        <v>220</v>
      </c>
      <c r="C29" t="s">
        <v>64</v>
      </c>
      <c r="D29" s="22" t="s">
        <v>189</v>
      </c>
      <c r="E29" s="24"/>
      <c r="F29" s="29"/>
      <c r="G29" s="29" t="s">
        <v>65</v>
      </c>
      <c r="H29" s="29" t="s">
        <v>65</v>
      </c>
      <c r="I29" s="24"/>
      <c r="J29" s="24" t="s">
        <v>65</v>
      </c>
      <c r="K29" s="24"/>
      <c r="L29" s="29" t="s">
        <v>65</v>
      </c>
      <c r="M29" s="29" t="s">
        <v>65</v>
      </c>
      <c r="N29" s="24"/>
      <c r="O29" s="4" t="s">
        <v>104</v>
      </c>
      <c r="P29" s="4" t="s">
        <v>104</v>
      </c>
      <c r="Q29" s="4"/>
      <c r="R29" s="4" t="s">
        <v>65</v>
      </c>
      <c r="S29" s="4" t="s">
        <v>65</v>
      </c>
      <c r="T29" s="4" t="s">
        <v>65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>
        <f t="shared" si="0"/>
        <v>10</v>
      </c>
      <c r="BF29" s="18">
        <f t="shared" ca="1" si="1"/>
        <v>14</v>
      </c>
      <c r="BG29">
        <f t="shared" ca="1" si="2"/>
        <v>24</v>
      </c>
      <c r="BH29"/>
      <c r="BI29" t="s">
        <v>72</v>
      </c>
      <c r="BJ29" s="22" t="s">
        <v>190</v>
      </c>
    </row>
    <row r="30" spans="1:62" ht="16" x14ac:dyDescent="0.2">
      <c r="A30"/>
      <c r="B30" s="21" t="s">
        <v>129</v>
      </c>
      <c r="C30" t="s">
        <v>64</v>
      </c>
      <c r="D30" s="22" t="s">
        <v>189</v>
      </c>
      <c r="E30" s="24"/>
      <c r="F30" s="29"/>
      <c r="G30" s="29"/>
      <c r="H30" s="29"/>
      <c r="I30" s="24"/>
      <c r="J30" s="24" t="s">
        <v>65</v>
      </c>
      <c r="K30" s="24"/>
      <c r="L30" s="29" t="s">
        <v>65</v>
      </c>
      <c r="M30" s="29" t="s">
        <v>65</v>
      </c>
      <c r="N30" s="24"/>
      <c r="O30" s="4" t="s">
        <v>104</v>
      </c>
      <c r="P30" s="4" t="s">
        <v>104</v>
      </c>
      <c r="Q30" s="4"/>
      <c r="R30" s="4" t="s">
        <v>65</v>
      </c>
      <c r="S30" s="4" t="s">
        <v>65</v>
      </c>
      <c r="T30" s="4" t="s">
        <v>65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18">
        <f t="shared" ca="1" si="1"/>
        <v>24</v>
      </c>
      <c r="BG30"/>
      <c r="BH30"/>
      <c r="BI30" t="s">
        <v>72</v>
      </c>
      <c r="BJ30" s="22" t="s">
        <v>190</v>
      </c>
    </row>
    <row r="31" spans="1:62" ht="16" x14ac:dyDescent="0.2">
      <c r="A31" t="s">
        <v>221</v>
      </c>
      <c r="B31" s="22" t="s">
        <v>222</v>
      </c>
      <c r="C31" t="s">
        <v>64</v>
      </c>
      <c r="D31" t="s">
        <v>189</v>
      </c>
      <c r="E31" s="24"/>
      <c r="F31" s="24"/>
      <c r="G31" s="24"/>
      <c r="H31" s="24"/>
      <c r="I31" s="24"/>
      <c r="J31" s="24" t="s">
        <v>65</v>
      </c>
      <c r="K31" s="24" t="s">
        <v>65</v>
      </c>
      <c r="L31" s="24"/>
      <c r="M31" s="24" t="s">
        <v>65</v>
      </c>
      <c r="N31" s="24"/>
      <c r="O31" s="4" t="s">
        <v>65</v>
      </c>
      <c r="P31" s="4"/>
      <c r="Q31" s="4"/>
      <c r="R31" s="4" t="s">
        <v>65</v>
      </c>
      <c r="S31" s="4" t="s">
        <v>65</v>
      </c>
      <c r="T31" s="4" t="s">
        <v>65</v>
      </c>
      <c r="U31" s="4" t="s">
        <v>65</v>
      </c>
      <c r="V31" s="4" t="s">
        <v>65</v>
      </c>
      <c r="W31" s="4" t="s">
        <v>65</v>
      </c>
      <c r="X31" s="4" t="s">
        <v>65</v>
      </c>
      <c r="Y31" s="4" t="s">
        <v>65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>
        <f t="shared" si="0"/>
        <v>8</v>
      </c>
      <c r="BF31" s="18">
        <f t="shared" ca="1" si="1"/>
        <v>16</v>
      </c>
      <c r="BG31">
        <f t="shared" ca="1" si="2"/>
        <v>24</v>
      </c>
      <c r="BH31"/>
      <c r="BI31" t="s">
        <v>72</v>
      </c>
    </row>
    <row r="32" spans="1:62" ht="32" x14ac:dyDescent="0.2">
      <c r="A32" t="s">
        <v>132</v>
      </c>
      <c r="B32" s="21" t="s">
        <v>223</v>
      </c>
      <c r="C32" t="s">
        <v>71</v>
      </c>
      <c r="D32" s="22" t="s">
        <v>189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4"/>
      <c r="P32" s="4"/>
      <c r="Q32" s="26"/>
      <c r="R32" s="35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>
        <f t="shared" si="0"/>
        <v>0</v>
      </c>
      <c r="BF32" s="18">
        <f t="shared" ca="1" si="1"/>
        <v>24</v>
      </c>
      <c r="BG32">
        <f t="shared" ca="1" si="2"/>
        <v>24</v>
      </c>
      <c r="BH32"/>
      <c r="BI32" t="s">
        <v>72</v>
      </c>
      <c r="BJ32" s="22" t="s">
        <v>190</v>
      </c>
    </row>
    <row r="33" spans="1:62" ht="32" x14ac:dyDescent="0.2">
      <c r="A33" t="s">
        <v>224</v>
      </c>
      <c r="B33" s="30" t="s">
        <v>225</v>
      </c>
      <c r="C33" t="s">
        <v>71</v>
      </c>
      <c r="D33" s="22" t="s">
        <v>189</v>
      </c>
      <c r="E33" s="24"/>
      <c r="F33" s="24"/>
      <c r="G33" s="24"/>
      <c r="H33" s="24"/>
      <c r="I33" s="24" t="s">
        <v>65</v>
      </c>
      <c r="J33" s="24" t="s">
        <v>65</v>
      </c>
      <c r="K33" s="24"/>
      <c r="L33" s="24"/>
      <c r="M33" s="24" t="s">
        <v>65</v>
      </c>
      <c r="N33" s="24" t="s">
        <v>65</v>
      </c>
      <c r="O33" s="31"/>
      <c r="P33" s="4"/>
      <c r="Q33" s="26"/>
      <c r="R33" s="35"/>
      <c r="S33" s="4" t="s">
        <v>65</v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>
        <f>COUNTA(E33:U33)/2</f>
        <v>2.5</v>
      </c>
      <c r="BF33" s="18">
        <f t="shared" ca="1" si="1"/>
        <v>21.5</v>
      </c>
      <c r="BG33">
        <f t="shared" ca="1" si="2"/>
        <v>24</v>
      </c>
      <c r="BH33"/>
      <c r="BI33" t="s">
        <v>72</v>
      </c>
      <c r="BJ33" s="37"/>
    </row>
    <row r="34" spans="1:62" ht="16" x14ac:dyDescent="0.2">
      <c r="A34" t="s">
        <v>226</v>
      </c>
      <c r="B34" s="23" t="s">
        <v>227</v>
      </c>
      <c r="C34" t="s">
        <v>228</v>
      </c>
      <c r="D34" s="22" t="s">
        <v>191</v>
      </c>
      <c r="E34" s="24"/>
      <c r="F34" s="24">
        <v>3</v>
      </c>
      <c r="G34" s="24"/>
      <c r="H34" s="24"/>
      <c r="I34" s="24"/>
      <c r="J34" s="24"/>
      <c r="K34" s="24"/>
      <c r="L34" s="24"/>
      <c r="M34" s="24"/>
      <c r="N34" s="24"/>
      <c r="O34" s="4" t="s">
        <v>65</v>
      </c>
      <c r="P34" s="4"/>
      <c r="Q34" s="4" t="s">
        <v>65</v>
      </c>
      <c r="R34" s="4" t="s">
        <v>65</v>
      </c>
      <c r="S34" s="4" t="s">
        <v>65</v>
      </c>
      <c r="T34" s="4" t="s">
        <v>65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>
        <f t="shared" ref="BE34:BE43" si="3">COUNTA(E34:U34)</f>
        <v>6</v>
      </c>
      <c r="BF34" s="18">
        <f t="shared" ca="1" si="1"/>
        <v>18</v>
      </c>
      <c r="BG34">
        <f t="shared" ca="1" si="2"/>
        <v>24</v>
      </c>
      <c r="BH34"/>
      <c r="BI34" t="s">
        <v>66</v>
      </c>
      <c r="BJ34" s="22"/>
    </row>
    <row r="35" spans="1:62" ht="16" x14ac:dyDescent="0.2">
      <c r="A35" t="s">
        <v>229</v>
      </c>
      <c r="B35" s="22" t="s">
        <v>230</v>
      </c>
      <c r="C35" t="s">
        <v>64</v>
      </c>
      <c r="D35" s="22" t="s">
        <v>191</v>
      </c>
      <c r="E35" s="24"/>
      <c r="F35" s="24" t="s">
        <v>65</v>
      </c>
      <c r="G35" s="24"/>
      <c r="H35" s="24"/>
      <c r="I35" s="24"/>
      <c r="J35" s="24" t="s">
        <v>65</v>
      </c>
      <c r="K35" s="24" t="s">
        <v>65</v>
      </c>
      <c r="L35" s="24" t="s">
        <v>65</v>
      </c>
      <c r="M35" s="24" t="s">
        <v>65</v>
      </c>
      <c r="N35" s="31"/>
      <c r="O35" s="31"/>
      <c r="P35" s="4" t="s">
        <v>104</v>
      </c>
      <c r="Q35" s="4"/>
      <c r="R35" s="35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>
        <f t="shared" si="3"/>
        <v>6</v>
      </c>
      <c r="BF35" s="18">
        <f t="shared" ca="1" si="1"/>
        <v>18</v>
      </c>
      <c r="BG35">
        <f t="shared" ca="1" si="2"/>
        <v>24</v>
      </c>
      <c r="BH35"/>
      <c r="BI35" t="s">
        <v>72</v>
      </c>
      <c r="BJ35" s="22" t="s">
        <v>192</v>
      </c>
    </row>
    <row r="36" spans="1:62" ht="16" x14ac:dyDescent="0.2">
      <c r="A36" t="s">
        <v>231</v>
      </c>
      <c r="B36" s="22" t="s">
        <v>232</v>
      </c>
      <c r="C36" t="s">
        <v>64</v>
      </c>
      <c r="D36" t="s">
        <v>103</v>
      </c>
      <c r="E36" s="24"/>
      <c r="F36" s="24" t="s">
        <v>65</v>
      </c>
      <c r="G36" s="24" t="s">
        <v>65</v>
      </c>
      <c r="H36" s="24" t="s">
        <v>65</v>
      </c>
      <c r="I36" s="24" t="s">
        <v>65</v>
      </c>
      <c r="J36" s="24" t="s">
        <v>65</v>
      </c>
      <c r="K36" s="24" t="s">
        <v>65</v>
      </c>
      <c r="L36" s="24"/>
      <c r="M36" s="24" t="s">
        <v>65</v>
      </c>
      <c r="N36" s="24" t="s">
        <v>65</v>
      </c>
      <c r="O36" s="4"/>
      <c r="P36" s="4" t="s">
        <v>65</v>
      </c>
      <c r="Q36" s="4" t="s">
        <v>65</v>
      </c>
      <c r="R36" s="4" t="s">
        <v>65</v>
      </c>
      <c r="S36" s="4" t="s">
        <v>65</v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>
        <f t="shared" si="3"/>
        <v>12</v>
      </c>
      <c r="BF36" s="18">
        <f t="shared" ca="1" si="1"/>
        <v>12</v>
      </c>
      <c r="BG36">
        <f t="shared" ca="1" si="2"/>
        <v>24</v>
      </c>
      <c r="BH36"/>
      <c r="BI36" t="s">
        <v>72</v>
      </c>
      <c r="BJ36" s="22" t="s">
        <v>233</v>
      </c>
    </row>
    <row r="37" spans="1:62" ht="16" x14ac:dyDescent="0.2">
      <c r="A37" t="s">
        <v>234</v>
      </c>
      <c r="B37" s="22" t="s">
        <v>143</v>
      </c>
      <c r="C37" t="s">
        <v>111</v>
      </c>
      <c r="D37" t="s">
        <v>189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4"/>
      <c r="P37" s="4"/>
      <c r="Q37" s="4"/>
      <c r="R37" s="4"/>
      <c r="S37" s="4"/>
      <c r="T37" s="4"/>
      <c r="U37" s="4"/>
      <c r="V37" s="4"/>
      <c r="W37" s="4"/>
      <c r="X37" s="4"/>
      <c r="Y37" s="4" t="s">
        <v>65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>
        <f t="shared" si="3"/>
        <v>0</v>
      </c>
      <c r="BF37" s="18">
        <f t="shared" ca="1" si="1"/>
        <v>24</v>
      </c>
      <c r="BG37">
        <f t="shared" ca="1" si="2"/>
        <v>24</v>
      </c>
      <c r="BH37"/>
      <c r="BI37" t="s">
        <v>72</v>
      </c>
    </row>
    <row r="38" spans="1:62" ht="16" x14ac:dyDescent="0.2">
      <c r="A38" t="s">
        <v>235</v>
      </c>
      <c r="B38" s="21" t="s">
        <v>145</v>
      </c>
      <c r="C38" t="s">
        <v>71</v>
      </c>
      <c r="D38" s="22" t="s">
        <v>103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>
        <f t="shared" si="3"/>
        <v>0</v>
      </c>
      <c r="BF38" s="18">
        <f t="shared" ca="1" si="1"/>
        <v>24</v>
      </c>
      <c r="BG38">
        <f t="shared" ca="1" si="2"/>
        <v>24</v>
      </c>
      <c r="BH38"/>
      <c r="BI38" t="s">
        <v>72</v>
      </c>
      <c r="BJ38" s="22"/>
    </row>
    <row r="39" spans="1:62" ht="16" x14ac:dyDescent="0.2">
      <c r="A39" t="s">
        <v>236</v>
      </c>
      <c r="B39" s="22" t="s">
        <v>147</v>
      </c>
      <c r="C39" t="s">
        <v>64</v>
      </c>
      <c r="D39" s="22" t="s">
        <v>189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>
        <f t="shared" si="3"/>
        <v>0</v>
      </c>
      <c r="BF39" s="18">
        <f t="shared" ca="1" si="1"/>
        <v>24</v>
      </c>
      <c r="BG39">
        <f t="shared" ca="1" si="2"/>
        <v>24</v>
      </c>
      <c r="BH39"/>
      <c r="BI39" t="s">
        <v>72</v>
      </c>
      <c r="BJ39" s="22"/>
    </row>
    <row r="40" spans="1:62" ht="32" x14ac:dyDescent="0.2">
      <c r="A40" t="s">
        <v>237</v>
      </c>
      <c r="B40" s="28" t="s">
        <v>238</v>
      </c>
      <c r="C40" t="s">
        <v>64</v>
      </c>
      <c r="D40" s="22" t="s">
        <v>189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31"/>
      <c r="P40" s="4"/>
      <c r="Q40" s="4" t="s">
        <v>65</v>
      </c>
      <c r="R40" s="4" t="s">
        <v>65</v>
      </c>
      <c r="S40" s="4" t="s">
        <v>65</v>
      </c>
      <c r="T40" s="4" t="s">
        <v>65</v>
      </c>
      <c r="U40" s="4"/>
      <c r="V40" s="4"/>
      <c r="W40" s="4" t="s">
        <v>65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>
        <f t="shared" si="3"/>
        <v>4</v>
      </c>
      <c r="BF40" s="18">
        <f t="shared" ca="1" si="1"/>
        <v>20</v>
      </c>
      <c r="BG40">
        <f t="shared" ca="1" si="2"/>
        <v>24</v>
      </c>
      <c r="BH40"/>
      <c r="BI40" t="s">
        <v>66</v>
      </c>
      <c r="BJ40" s="22" t="s">
        <v>190</v>
      </c>
    </row>
    <row r="41" spans="1:62" x14ac:dyDescent="0.2">
      <c r="A41" s="32" t="s">
        <v>239</v>
      </c>
      <c r="B41" s="33" t="s">
        <v>151</v>
      </c>
      <c r="C41" t="s">
        <v>64</v>
      </c>
      <c r="D41" s="34" t="s">
        <v>191</v>
      </c>
      <c r="E41" s="24"/>
      <c r="F41" s="24"/>
      <c r="G41" s="24"/>
      <c r="H41" s="24"/>
      <c r="I41" s="24"/>
      <c r="J41" s="24"/>
      <c r="K41" s="24"/>
      <c r="L41" s="24"/>
      <c r="M41" s="24" t="s">
        <v>65</v>
      </c>
      <c r="N41" s="24"/>
      <c r="O41" s="24" t="s">
        <v>65</v>
      </c>
      <c r="P41" s="4"/>
      <c r="Q41" s="4"/>
      <c r="R41" s="35"/>
      <c r="S41" s="4" t="s">
        <v>65</v>
      </c>
      <c r="T41" s="4" t="s">
        <v>65</v>
      </c>
      <c r="U41" s="4" t="s">
        <v>65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>
        <f t="shared" si="3"/>
        <v>5</v>
      </c>
      <c r="BF41" s="18">
        <f t="shared" ca="1" si="1"/>
        <v>19</v>
      </c>
      <c r="BG41">
        <f t="shared" ca="1" si="2"/>
        <v>24</v>
      </c>
      <c r="BH41"/>
      <c r="BI41" t="s">
        <v>72</v>
      </c>
      <c r="BJ41" t="s">
        <v>240</v>
      </c>
    </row>
    <row r="42" spans="1:62" ht="16" x14ac:dyDescent="0.2">
      <c r="A42" t="s">
        <v>241</v>
      </c>
      <c r="B42" t="s">
        <v>242</v>
      </c>
      <c r="C42" t="s">
        <v>111</v>
      </c>
      <c r="D42" s="22" t="s">
        <v>189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>
        <f t="shared" si="3"/>
        <v>0</v>
      </c>
      <c r="BF42" s="18">
        <f t="shared" ca="1" si="1"/>
        <v>24</v>
      </c>
      <c r="BG42">
        <f t="shared" ca="1" si="2"/>
        <v>24</v>
      </c>
      <c r="BH42"/>
      <c r="BI42" t="s">
        <v>66</v>
      </c>
      <c r="BJ42" s="22" t="s">
        <v>190</v>
      </c>
    </row>
    <row r="43" spans="1:62" ht="16" x14ac:dyDescent="0.2">
      <c r="A43" t="s">
        <v>243</v>
      </c>
      <c r="B43" t="s">
        <v>244</v>
      </c>
      <c r="C43" t="s">
        <v>111</v>
      </c>
      <c r="D43" s="22" t="s">
        <v>189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>
        <f t="shared" si="3"/>
        <v>0</v>
      </c>
      <c r="BF43" s="18">
        <f t="shared" ca="1" si="1"/>
        <v>24</v>
      </c>
      <c r="BG43">
        <f t="shared" ca="1" si="2"/>
        <v>24</v>
      </c>
      <c r="BH43"/>
      <c r="BI43" t="s">
        <v>66</v>
      </c>
      <c r="BJ43" s="22" t="s">
        <v>190</v>
      </c>
    </row>
    <row r="46" spans="1:62" x14ac:dyDescent="0.2">
      <c r="F46" s="3"/>
    </row>
  </sheetData>
  <conditionalFormatting sqref="C20">
    <cfRule type="cellIs" dxfId="1" priority="1" operator="equal">
      <formula>0</formula>
    </cfRule>
  </conditionalFormatting>
  <conditionalFormatting sqref="BE2:BG43"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orientation="portrait" r:id="rId1"/>
  <headerFooter>
    <oddFooter>&amp;L_x000D_&amp;1#&amp;"Aptos"&amp;10&amp;K000000 Interno</oddFooter>
  </headerFooter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e9e324e9-4967-437b-a497-16f662c21391">
      <Terms xmlns="http://schemas.microsoft.com/office/infopath/2007/PartnerControls"/>
    </lcf76f155ced4ddcb4097134ff3c332f>
    <TaxCatchAll xmlns="dcbe9599-1178-413b-9602-83ebc6e8bce4" xsi:nil="true"/>
    <_ip_UnifiedCompliancePolicyProperties xmlns="http://schemas.microsoft.com/sharepoint/v3" xsi:nil="true"/>
    <DocumentCategory xmlns="e7640078-2807-4792-8712-763d4cb5898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5F55DA03AD8849999218AD871CBDF0" ma:contentTypeVersion="19" ma:contentTypeDescription="Crie um novo documento." ma:contentTypeScope="" ma:versionID="3a836707be849dfa7ce4683be2486502">
  <xsd:schema xmlns:xsd="http://www.w3.org/2001/XMLSchema" xmlns:xs="http://www.w3.org/2001/XMLSchema" xmlns:p="http://schemas.microsoft.com/office/2006/metadata/properties" xmlns:ns1="http://schemas.microsoft.com/sharepoint/v3" xmlns:ns2="e7640078-2807-4792-8712-763d4cb58983" xmlns:ns3="dcbe9599-1178-413b-9602-83ebc6e8bce4" xmlns:ns4="e9e324e9-4967-437b-a497-16f662c21391" targetNamespace="http://schemas.microsoft.com/office/2006/metadata/properties" ma:root="true" ma:fieldsID="0f940417f33b8f1f2ce4246c9e35d0ae" ns1:_="" ns2:_="" ns3:_="" ns4:_="">
    <xsd:import namespace="http://schemas.microsoft.com/sharepoint/v3"/>
    <xsd:import namespace="e7640078-2807-4792-8712-763d4cb58983"/>
    <xsd:import namespace="dcbe9599-1178-413b-9602-83ebc6e8bce4"/>
    <xsd:import namespace="e9e324e9-4967-437b-a497-16f662c21391"/>
    <xsd:element name="properties">
      <xsd:complexType>
        <xsd:sequence>
          <xsd:element name="documentManagement">
            <xsd:complexType>
              <xsd:all>
                <xsd:element ref="ns2:DocumentCategory" minOccurs="0"/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lcf76f155ced4ddcb4097134ff3c332f" minOccurs="0"/>
                <xsd:element ref="ns3:TaxCatchAll" minOccurs="0"/>
                <xsd:element ref="ns4:MediaServiceOCR" minOccurs="0"/>
                <xsd:element ref="ns4:MediaLengthInSeconds" minOccurs="0"/>
                <xsd:element ref="ns4:MediaServiceSearchProperties" minOccurs="0"/>
                <xsd:element ref="ns4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640078-2807-4792-8712-763d4cb58983" elementFormDefault="qualified">
    <xsd:import namespace="http://schemas.microsoft.com/office/2006/documentManagement/types"/>
    <xsd:import namespace="http://schemas.microsoft.com/office/infopath/2007/PartnerControls"/>
    <xsd:element name="DocumentCategory" ma:index="8" nillable="true" ma:displayName="Document category" ma:format="Dropdown" ma:internalName="DocumentCategory">
      <xsd:simpleType>
        <xsd:restriction base="dms:Choice">
          <xsd:enumeration value="To be decided by Site Owner(1)"/>
          <xsd:enumeration value="To be decided by Site Owner(2)"/>
          <xsd:enumeration value="To be decided by Site Owner(3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e9599-1178-413b-9602-83ebc6e8bce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f9b9e99-811d-4f2c-9307-a980e5a9e39e}" ma:internalName="TaxCatchAll" ma:showField="CatchAllData" ma:web="dcbe9599-1178-413b-9602-83ebc6e8bc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324e9-4967-437b-a497-16f662c21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6f859b6c-e253-4ff5-902d-db96b2e740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criptIds xmlns="http://schemas.microsoft.com/office/extensibility/maker/v1.0" id="script-ids-node-id"/>
</file>

<file path=customXml/itemProps1.xml><?xml version="1.0" encoding="utf-8"?>
<ds:datastoreItem xmlns:ds="http://schemas.openxmlformats.org/officeDocument/2006/customXml" ds:itemID="{C9A07560-16E1-4559-8CE1-6DDA79DFE9D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9e324e9-4967-437b-a497-16f662c21391"/>
    <ds:schemaRef ds:uri="dcbe9599-1178-413b-9602-83ebc6e8bce4"/>
    <ds:schemaRef ds:uri="e7640078-2807-4792-8712-763d4cb58983"/>
  </ds:schemaRefs>
</ds:datastoreItem>
</file>

<file path=customXml/itemProps2.xml><?xml version="1.0" encoding="utf-8"?>
<ds:datastoreItem xmlns:ds="http://schemas.openxmlformats.org/officeDocument/2006/customXml" ds:itemID="{45BA007C-FCAF-45A2-BE18-B36EE22CEF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533DC7-38B6-47C2-9AFD-406A18AF67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7640078-2807-4792-8712-763d4cb58983"/>
    <ds:schemaRef ds:uri="dcbe9599-1178-413b-9602-83ebc6e8bce4"/>
    <ds:schemaRef ds:uri="e9e324e9-4967-437b-a497-16f662c213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875DB42-104D-4A36-925C-E0DD5B997017}">
  <ds:schemaRefs>
    <ds:schemaRef ds:uri="http://schemas.microsoft.com/office/extensibility/maker/v1.0"/>
  </ds:schemaRefs>
</ds:datastoreItem>
</file>

<file path=docMetadata/LabelInfo.xml><?xml version="1.0" encoding="utf-8"?>
<clbl:labelList xmlns:clbl="http://schemas.microsoft.com/office/2020/mipLabelMetadata">
  <clbl:label id="{0c6b9222-ff7d-4c6e-80fc-d2dead453d3c}" enabled="1" method="Privileged" siteId="{e7c411a6-9013-4967-a5b1-3d08f9edc13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StatusReport_2026_NovaFormula</vt:lpstr>
      <vt:lpstr>BI</vt:lpstr>
      <vt:lpstr>StatusReport_2026_backup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Julio Oliveira</dc:creator>
  <cp:keywords/>
  <dc:description/>
  <cp:lastModifiedBy>Diogo Martins Almeida Faria</cp:lastModifiedBy>
  <cp:revision/>
  <dcterms:created xsi:type="dcterms:W3CDTF">2025-10-15T13:27:37Z</dcterms:created>
  <dcterms:modified xsi:type="dcterms:W3CDTF">2026-06-11T23:53:02Z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0x010100D45F55DA03AD8849999218AD871CBDF0</vt:lpwstr>
  </property>
  <property fmtid="{D5CDD505-2E9C-101B-9397-08002B2CF9AE}" pid="3" name="MediaServiceImageTags">
    <vt:lpwstr/>
  </property>
  <property fmtid="{D5CDD505-2E9C-101B-9397-08002B2CF9AE}" pid="4" name="MSIP_Label_a4a58698-f344-4198-ab37-f250df3982dd_Enabled">
    <vt:lpwstr>true</vt:lpwstr>
  </property>
  <property fmtid="{D5CDD505-2E9C-101B-9397-08002B2CF9AE}" pid="5" name="MSIP_Label_a4a58698-f344-4198-ab37-f250df3982dd_SetDate">
    <vt:lpwstr>2025-11-17T11:33:46Z</vt:lpwstr>
  </property>
  <property fmtid="{D5CDD505-2E9C-101B-9397-08002B2CF9AE}" pid="6" name="MSIP_Label_a4a58698-f344-4198-ab37-f250df3982dd_Method">
    <vt:lpwstr>Standard</vt:lpwstr>
  </property>
  <property fmtid="{D5CDD505-2E9C-101B-9397-08002B2CF9AE}" pid="7" name="MSIP_Label_a4a58698-f344-4198-ab37-f250df3982dd_Name">
    <vt:lpwstr>GLB Internal</vt:lpwstr>
  </property>
  <property fmtid="{D5CDD505-2E9C-101B-9397-08002B2CF9AE}" pid="8" name="MSIP_Label_a4a58698-f344-4198-ab37-f250df3982dd_SiteId">
    <vt:lpwstr>bc1d8991-4a28-4552-abc1-ace7ae108274</vt:lpwstr>
  </property>
  <property fmtid="{D5CDD505-2E9C-101B-9397-08002B2CF9AE}" pid="9" name="MSIP_Label_a4a58698-f344-4198-ab37-f250df3982dd_ActionId">
    <vt:lpwstr>b0399f35-f0b7-4d70-a0b9-617914bc4166</vt:lpwstr>
  </property>
  <property fmtid="{D5CDD505-2E9C-101B-9397-08002B2CF9AE}" pid="10" name="MSIP_Label_a4a58698-f344-4198-ab37-f250df3982dd_ContentBits">
    <vt:lpwstr>0</vt:lpwstr>
  </property>
  <property fmtid="{D5CDD505-2E9C-101B-9397-08002B2CF9AE}" pid="11" name="MSIP_Label_a4a58698-f344-4198-ab37-f250df3982dd_Tag">
    <vt:lpwstr>10, 3, 0, 2</vt:lpwstr>
  </property>
  <property fmtid="{D5CDD505-2E9C-101B-9397-08002B2CF9AE}" pid="12" name="MSIP_Label_2004fabd-8c59-4123-b113-9f53485cc1fa_Enabled">
    <vt:lpwstr>true</vt:lpwstr>
  </property>
  <property fmtid="{D5CDD505-2E9C-101B-9397-08002B2CF9AE}" pid="13" name="MSIP_Label_2004fabd-8c59-4123-b113-9f53485cc1fa_SetDate">
    <vt:lpwstr>2026-06-11T22:31:46Z</vt:lpwstr>
  </property>
  <property fmtid="{D5CDD505-2E9C-101B-9397-08002B2CF9AE}" pid="14" name="MSIP_Label_2004fabd-8c59-4123-b113-9f53485cc1fa_Method">
    <vt:lpwstr>Privileged</vt:lpwstr>
  </property>
  <property fmtid="{D5CDD505-2E9C-101B-9397-08002B2CF9AE}" pid="15" name="MSIP_Label_2004fabd-8c59-4123-b113-9f53485cc1fa_Name">
    <vt:lpwstr>Publico</vt:lpwstr>
  </property>
  <property fmtid="{D5CDD505-2E9C-101B-9397-08002B2CF9AE}" pid="16" name="MSIP_Label_2004fabd-8c59-4123-b113-9f53485cc1fa_SiteId">
    <vt:lpwstr>9339fb1c-0944-4fb9-808d-a278e53590e5</vt:lpwstr>
  </property>
  <property fmtid="{D5CDD505-2E9C-101B-9397-08002B2CF9AE}" pid="17" name="MSIP_Label_2004fabd-8c59-4123-b113-9f53485cc1fa_ActionId">
    <vt:lpwstr>3d595376-2eab-4967-bcfb-13d02d937e28</vt:lpwstr>
  </property>
  <property fmtid="{D5CDD505-2E9C-101B-9397-08002B2CF9AE}" pid="18" name="MSIP_Label_2004fabd-8c59-4123-b113-9f53485cc1fa_ContentBits">
    <vt:lpwstr>0</vt:lpwstr>
  </property>
  <property fmtid="{D5CDD505-2E9C-101B-9397-08002B2CF9AE}" pid="19" name="MSIP_Label_2004fabd-8c59-4123-b113-9f53485cc1fa_Tag">
    <vt:lpwstr>50, 0, 1, 1</vt:lpwstr>
  </property>
</Properties>
</file>